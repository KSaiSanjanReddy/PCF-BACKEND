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viguidetechnosolutions-my.sharepoint.com/personal/hruday_murikipudi_enviguide_com/Documents/"/>
    </mc:Choice>
  </mc:AlternateContent>
  <xr:revisionPtr revIDLastSave="1215" documentId="8_{57B7F5A3-955D-46C7-BCA4-F544431A602E}" xr6:coauthVersionLast="47" xr6:coauthVersionMax="47" xr10:uidLastSave="{DD97CAFF-23D5-495B-B643-F03D8D185C91}"/>
  <bookViews>
    <workbookView xWindow="-108" yWindow="-108" windowWidth="23256" windowHeight="12456" activeTab="2" xr2:uid="{7FE707F8-3EEC-4EC3-9EB2-BE4C7B1B8890}"/>
  </bookViews>
  <sheets>
    <sheet name="BOM" sheetId="2" r:id="rId1"/>
    <sheet name="Instrument Panel" sheetId="3" r:id="rId2"/>
    <sheet name="Headliner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4" i="5" l="1"/>
  <c r="C263" i="5"/>
  <c r="C262" i="5"/>
  <c r="C261" i="5"/>
  <c r="C260" i="5"/>
  <c r="C259" i="5"/>
  <c r="D261" i="5"/>
  <c r="D260" i="5"/>
  <c r="D259" i="5"/>
  <c r="C264" i="3"/>
  <c r="C259" i="3"/>
  <c r="D261" i="3"/>
  <c r="D259" i="3"/>
  <c r="C263" i="3"/>
  <c r="C262" i="3"/>
  <c r="C261" i="3"/>
  <c r="C260" i="3"/>
  <c r="H264" i="5"/>
  <c r="D204" i="5"/>
  <c r="C204" i="5"/>
  <c r="B204" i="5"/>
  <c r="F204" i="3"/>
  <c r="E204" i="3"/>
  <c r="D204" i="3"/>
  <c r="C204" i="3"/>
  <c r="B204" i="3"/>
  <c r="B199" i="3"/>
  <c r="B61" i="5" l="1"/>
  <c r="B64" i="5" s="1"/>
  <c r="B249" i="5"/>
  <c r="B252" i="5" s="1"/>
  <c r="B253" i="5" s="1"/>
  <c r="B236" i="5"/>
  <c r="B238" i="5" s="1"/>
  <c r="N71" i="5" s="1"/>
  <c r="M226" i="5"/>
  <c r="T226" i="5" s="1"/>
  <c r="U226" i="5" s="1"/>
  <c r="V226" i="5" s="1"/>
  <c r="M225" i="5"/>
  <c r="M224" i="5"/>
  <c r="T224" i="5" s="1"/>
  <c r="U224" i="5" s="1"/>
  <c r="V224" i="5" s="1"/>
  <c r="M218" i="5"/>
  <c r="L218" i="5"/>
  <c r="K218" i="5"/>
  <c r="L216" i="5"/>
  <c r="N216" i="5" s="1"/>
  <c r="M191" i="5"/>
  <c r="M192" i="5" s="1"/>
  <c r="L191" i="5"/>
  <c r="L192" i="5" s="1"/>
  <c r="K191" i="5"/>
  <c r="K192" i="5" s="1"/>
  <c r="D187" i="5"/>
  <c r="C187" i="5"/>
  <c r="B187" i="5"/>
  <c r="G186" i="5"/>
  <c r="F186" i="5"/>
  <c r="E186" i="5"/>
  <c r="D166" i="5"/>
  <c r="D167" i="5" s="1"/>
  <c r="D170" i="5" s="1"/>
  <c r="C166" i="5"/>
  <c r="C167" i="5" s="1"/>
  <c r="C170" i="5" s="1"/>
  <c r="B166" i="5"/>
  <c r="B167" i="5" s="1"/>
  <c r="B170" i="5" s="1"/>
  <c r="B102" i="5"/>
  <c r="B103" i="5" s="1"/>
  <c r="C86" i="5"/>
  <c r="C89" i="5" s="1"/>
  <c r="B86" i="5"/>
  <c r="B89" i="5" s="1"/>
  <c r="B74" i="5"/>
  <c r="B75" i="5" s="1"/>
  <c r="H262" i="5" s="1"/>
  <c r="G61" i="5"/>
  <c r="G64" i="5" s="1"/>
  <c r="F61" i="5"/>
  <c r="F64" i="5" s="1"/>
  <c r="E61" i="5"/>
  <c r="E64" i="5" s="1"/>
  <c r="D61" i="5"/>
  <c r="D64" i="5" s="1"/>
  <c r="C61" i="5"/>
  <c r="C64" i="5" s="1"/>
  <c r="G36" i="5"/>
  <c r="F36" i="5"/>
  <c r="E36" i="5"/>
  <c r="D36" i="5"/>
  <c r="C36" i="5"/>
  <c r="B36" i="5"/>
  <c r="B28" i="5"/>
  <c r="G187" i="3"/>
  <c r="F187" i="3"/>
  <c r="E187" i="3"/>
  <c r="G186" i="3"/>
  <c r="G61" i="3"/>
  <c r="G64" i="3" s="1"/>
  <c r="F61" i="3"/>
  <c r="F64" i="3" s="1"/>
  <c r="E61" i="3"/>
  <c r="E64" i="3" s="1"/>
  <c r="D61" i="3"/>
  <c r="D64" i="3" s="1"/>
  <c r="C61" i="3"/>
  <c r="C64" i="3" s="1"/>
  <c r="G36" i="3"/>
  <c r="F36" i="3"/>
  <c r="E36" i="3"/>
  <c r="D36" i="3"/>
  <c r="C36" i="3"/>
  <c r="B36" i="3"/>
  <c r="B28" i="3"/>
  <c r="B249" i="3"/>
  <c r="B252" i="3" s="1"/>
  <c r="B253" i="3" s="1"/>
  <c r="B236" i="3"/>
  <c r="B238" i="3" s="1"/>
  <c r="M226" i="3"/>
  <c r="T226" i="3" s="1"/>
  <c r="U226" i="3" s="1"/>
  <c r="V226" i="3" s="1"/>
  <c r="M225" i="3"/>
  <c r="T225" i="3" s="1"/>
  <c r="U225" i="3" s="1"/>
  <c r="V225" i="3" s="1"/>
  <c r="M224" i="3"/>
  <c r="T224" i="3" s="1"/>
  <c r="U224" i="3" s="1"/>
  <c r="V224" i="3" s="1"/>
  <c r="B224" i="3"/>
  <c r="B227" i="3" s="1"/>
  <c r="B228" i="3" s="1"/>
  <c r="M218" i="3"/>
  <c r="L218" i="3"/>
  <c r="K218" i="3"/>
  <c r="L216" i="3"/>
  <c r="N216" i="3" s="1"/>
  <c r="M191" i="3"/>
  <c r="M192" i="3" s="1"/>
  <c r="L191" i="3"/>
  <c r="L192" i="3" s="1"/>
  <c r="K191" i="3"/>
  <c r="K192" i="3" s="1"/>
  <c r="D187" i="3"/>
  <c r="C187" i="3"/>
  <c r="B187" i="3"/>
  <c r="D166" i="3"/>
  <c r="D167" i="3" s="1"/>
  <c r="D170" i="3" s="1"/>
  <c r="C166" i="3"/>
  <c r="C167" i="3" s="1"/>
  <c r="C170" i="3" s="1"/>
  <c r="B166" i="3"/>
  <c r="B167" i="3" s="1"/>
  <c r="B170" i="3" s="1"/>
  <c r="B102" i="3"/>
  <c r="B103" i="3" s="1"/>
  <c r="B200" i="3" s="1"/>
  <c r="B201" i="3" s="1"/>
  <c r="D86" i="3"/>
  <c r="D89" i="3" s="1"/>
  <c r="C86" i="3"/>
  <c r="C89" i="3" s="1"/>
  <c r="B86" i="3"/>
  <c r="B89" i="3" s="1"/>
  <c r="B74" i="3"/>
  <c r="B75" i="3" s="1"/>
  <c r="H262" i="3" s="1"/>
  <c r="B61" i="3"/>
  <c r="B64" i="3" s="1"/>
  <c r="B183" i="5" l="1"/>
  <c r="B184" i="5" s="1"/>
  <c r="B200" i="5"/>
  <c r="B201" i="5" s="1"/>
  <c r="D186" i="5"/>
  <c r="C186" i="5"/>
  <c r="C188" i="5" s="1"/>
  <c r="B186" i="5"/>
  <c r="B188" i="5" s="1"/>
  <c r="D188" i="5"/>
  <c r="F203" i="3"/>
  <c r="F205" i="3" s="1"/>
  <c r="F210" i="3" s="1"/>
  <c r="F212" i="3" s="1"/>
  <c r="E203" i="3"/>
  <c r="E205" i="3" s="1"/>
  <c r="E210" i="3" s="1"/>
  <c r="E212" i="3" s="1"/>
  <c r="D203" i="3"/>
  <c r="D205" i="3" s="1"/>
  <c r="D210" i="3" s="1"/>
  <c r="D212" i="3" s="1"/>
  <c r="C203" i="3"/>
  <c r="C205" i="3" s="1"/>
  <c r="C210" i="3" s="1"/>
  <c r="C212" i="3" s="1"/>
  <c r="B203" i="3"/>
  <c r="B205" i="3" s="1"/>
  <c r="B210" i="3" s="1"/>
  <c r="B212" i="3" s="1"/>
  <c r="G188" i="3"/>
  <c r="G37" i="3" s="1"/>
  <c r="G50" i="3" s="1"/>
  <c r="B183" i="3"/>
  <c r="B184" i="3" s="1"/>
  <c r="B153" i="5"/>
  <c r="B154" i="5" s="1"/>
  <c r="B156" i="5" s="1"/>
  <c r="M227" i="5"/>
  <c r="N225" i="5" s="1"/>
  <c r="O225" i="5" s="1"/>
  <c r="P225" i="5" s="1"/>
  <c r="Q225" i="5" s="1"/>
  <c r="D139" i="3"/>
  <c r="D140" i="3" s="1"/>
  <c r="D142" i="3" s="1"/>
  <c r="E37" i="5"/>
  <c r="E42" i="5" s="1"/>
  <c r="E43" i="5" s="1"/>
  <c r="F37" i="5"/>
  <c r="F50" i="5" s="1"/>
  <c r="B90" i="5"/>
  <c r="G37" i="5"/>
  <c r="G42" i="5" s="1"/>
  <c r="G43" i="5" s="1"/>
  <c r="M217" i="5"/>
  <c r="M220" i="5" s="1"/>
  <c r="K193" i="5"/>
  <c r="B117" i="5"/>
  <c r="B118" i="5" s="1"/>
  <c r="B121" i="5" s="1"/>
  <c r="B139" i="5"/>
  <c r="B140" i="5" s="1"/>
  <c r="B142" i="5" s="1"/>
  <c r="C139" i="5"/>
  <c r="C140" i="5" s="1"/>
  <c r="C142" i="5" s="1"/>
  <c r="B65" i="5"/>
  <c r="B171" i="5"/>
  <c r="L217" i="5"/>
  <c r="L220" i="5" s="1"/>
  <c r="D139" i="5"/>
  <c r="D140" i="5" s="1"/>
  <c r="D142" i="5" s="1"/>
  <c r="B104" i="5"/>
  <c r="B105" i="5" s="1"/>
  <c r="B107" i="5" s="1"/>
  <c r="N72" i="5"/>
  <c r="K217" i="5"/>
  <c r="K220" i="5" s="1"/>
  <c r="T225" i="5"/>
  <c r="U225" i="5" s="1"/>
  <c r="V225" i="5" s="1"/>
  <c r="B131" i="5"/>
  <c r="B132" i="5" s="1"/>
  <c r="B134" i="5" s="1"/>
  <c r="B65" i="3"/>
  <c r="B171" i="3"/>
  <c r="M217" i="3"/>
  <c r="M220" i="3" s="1"/>
  <c r="N72" i="3"/>
  <c r="L217" i="3"/>
  <c r="L220" i="3" s="1"/>
  <c r="K217" i="3"/>
  <c r="K220" i="3" s="1"/>
  <c r="B90" i="3"/>
  <c r="K193" i="3"/>
  <c r="N71" i="3"/>
  <c r="B104" i="3"/>
  <c r="B105" i="3" s="1"/>
  <c r="B107" i="3" s="1"/>
  <c r="B117" i="3"/>
  <c r="B118" i="3" s="1"/>
  <c r="B121" i="3" s="1"/>
  <c r="M227" i="3"/>
  <c r="N224" i="3" s="1"/>
  <c r="O224" i="3" s="1"/>
  <c r="B131" i="3"/>
  <c r="B132" i="3" s="1"/>
  <c r="B134" i="3" s="1"/>
  <c r="T227" i="3"/>
  <c r="B153" i="3"/>
  <c r="B154" i="3" s="1"/>
  <c r="B156" i="3" s="1"/>
  <c r="B139" i="3"/>
  <c r="B140" i="3" s="1"/>
  <c r="B142" i="3" s="1"/>
  <c r="C139" i="3"/>
  <c r="C140" i="3" s="1"/>
  <c r="C142" i="3" s="1"/>
  <c r="B203" i="5" l="1"/>
  <c r="B205" i="5" s="1"/>
  <c r="B210" i="5" s="1"/>
  <c r="B212" i="5" s="1"/>
  <c r="D203" i="5"/>
  <c r="D205" i="5" s="1"/>
  <c r="D210" i="5" s="1"/>
  <c r="D212" i="5" s="1"/>
  <c r="C203" i="5"/>
  <c r="C205" i="5" s="1"/>
  <c r="C210" i="5" s="1"/>
  <c r="C212" i="5" s="1"/>
  <c r="C193" i="5"/>
  <c r="C195" i="5" s="1"/>
  <c r="C37" i="5"/>
  <c r="C46" i="5" s="1"/>
  <c r="N224" i="5"/>
  <c r="O224" i="5" s="1"/>
  <c r="N226" i="5"/>
  <c r="O226" i="5" s="1"/>
  <c r="P226" i="5" s="1"/>
  <c r="Q226" i="5" s="1"/>
  <c r="D37" i="5"/>
  <c r="D46" i="5" s="1"/>
  <c r="D193" i="5"/>
  <c r="D195" i="5" s="1"/>
  <c r="B37" i="5"/>
  <c r="B50" i="5" s="1"/>
  <c r="B193" i="5"/>
  <c r="B213" i="3"/>
  <c r="F186" i="3"/>
  <c r="E186" i="3"/>
  <c r="D186" i="3"/>
  <c r="C186" i="3"/>
  <c r="B186" i="3"/>
  <c r="E188" i="3"/>
  <c r="D188" i="3"/>
  <c r="C188" i="3"/>
  <c r="F188" i="3"/>
  <c r="B188" i="3"/>
  <c r="B193" i="3" s="1"/>
  <c r="B195" i="3" s="1"/>
  <c r="F46" i="5"/>
  <c r="T227" i="5"/>
  <c r="G50" i="5"/>
  <c r="F39" i="5"/>
  <c r="F42" i="5"/>
  <c r="F43" i="5" s="1"/>
  <c r="E46" i="5"/>
  <c r="E39" i="5"/>
  <c r="E50" i="5"/>
  <c r="G46" i="5"/>
  <c r="G39" i="5"/>
  <c r="B143" i="5"/>
  <c r="H261" i="5" s="1"/>
  <c r="P224" i="5"/>
  <c r="Q224" i="5" s="1"/>
  <c r="O227" i="5"/>
  <c r="C42" i="5"/>
  <c r="C43" i="5" s="1"/>
  <c r="G39" i="3"/>
  <c r="G42" i="3"/>
  <c r="G43" i="3" s="1"/>
  <c r="G46" i="3"/>
  <c r="H263" i="3"/>
  <c r="N225" i="3"/>
  <c r="O225" i="3" s="1"/>
  <c r="P225" i="3" s="1"/>
  <c r="Q225" i="3" s="1"/>
  <c r="N226" i="3"/>
  <c r="O226" i="3" s="1"/>
  <c r="P226" i="3" s="1"/>
  <c r="Q226" i="3" s="1"/>
  <c r="B143" i="3"/>
  <c r="N70" i="3" s="1"/>
  <c r="P224" i="3"/>
  <c r="Q224" i="3" s="1"/>
  <c r="B224" i="5" l="1"/>
  <c r="B227" i="5" s="1"/>
  <c r="B228" i="5" s="1"/>
  <c r="B195" i="5"/>
  <c r="B196" i="5" s="1"/>
  <c r="B213" i="5"/>
  <c r="C39" i="5"/>
  <c r="C50" i="5"/>
  <c r="D39" i="5"/>
  <c r="D42" i="5"/>
  <c r="D43" i="5" s="1"/>
  <c r="D50" i="5"/>
  <c r="B42" i="5"/>
  <c r="B43" i="5" s="1"/>
  <c r="B44" i="5" s="1"/>
  <c r="B46" i="5"/>
  <c r="B47" i="5" s="1"/>
  <c r="B39" i="5"/>
  <c r="B40" i="5" s="1"/>
  <c r="F37" i="3"/>
  <c r="F50" i="3" s="1"/>
  <c r="F193" i="3"/>
  <c r="F195" i="3" s="1"/>
  <c r="C37" i="3"/>
  <c r="C50" i="3" s="1"/>
  <c r="C193" i="3"/>
  <c r="C195" i="3" s="1"/>
  <c r="D37" i="3"/>
  <c r="D42" i="3" s="1"/>
  <c r="D43" i="3" s="1"/>
  <c r="D193" i="3"/>
  <c r="D195" i="3" s="1"/>
  <c r="E37" i="3"/>
  <c r="E193" i="3"/>
  <c r="E195" i="3" s="1"/>
  <c r="C42" i="3"/>
  <c r="C43" i="3" s="1"/>
  <c r="C39" i="3"/>
  <c r="E50" i="3"/>
  <c r="C46" i="3"/>
  <c r="B37" i="3"/>
  <c r="B39" i="3" s="1"/>
  <c r="N70" i="5"/>
  <c r="O227" i="3"/>
  <c r="H261" i="3"/>
  <c r="H263" i="5" l="1"/>
  <c r="B256" i="5"/>
  <c r="B196" i="3"/>
  <c r="H264" i="3" s="1"/>
  <c r="B51" i="5"/>
  <c r="N69" i="5" s="1"/>
  <c r="N73" i="5" s="1"/>
  <c r="F39" i="3"/>
  <c r="E46" i="3"/>
  <c r="E39" i="3"/>
  <c r="D39" i="3"/>
  <c r="D50" i="3"/>
  <c r="D46" i="3"/>
  <c r="E42" i="3"/>
  <c r="E43" i="3" s="1"/>
  <c r="F46" i="3"/>
  <c r="F42" i="3"/>
  <c r="F43" i="3" s="1"/>
  <c r="B40" i="3"/>
  <c r="B50" i="3"/>
  <c r="B51" i="3" s="1"/>
  <c r="B42" i="3"/>
  <c r="B43" i="3" s="1"/>
  <c r="B44" i="3" s="1"/>
  <c r="B46" i="3"/>
  <c r="B48" i="5"/>
  <c r="H260" i="5"/>
  <c r="H265" i="5" s="1"/>
  <c r="N69" i="3" l="1"/>
  <c r="N73" i="3" s="1"/>
  <c r="B256" i="3"/>
  <c r="B47" i="3"/>
  <c r="H260" i="3"/>
  <c r="H265" i="3" s="1"/>
  <c r="B48" i="3"/>
</calcChain>
</file>

<file path=xl/sharedStrings.xml><?xml version="1.0" encoding="utf-8"?>
<sst xmlns="http://schemas.openxmlformats.org/spreadsheetml/2006/main" count="1153" uniqueCount="422">
  <si>
    <t>Material Part Number (MPN)</t>
  </si>
  <si>
    <t>Component</t>
  </si>
  <si>
    <t>Quantity (Pcs)</t>
  </si>
  <si>
    <t>Production Region</t>
  </si>
  <si>
    <t>Supplier Name</t>
  </si>
  <si>
    <t>Description of Material</t>
  </si>
  <si>
    <t>Weight (gms)</t>
  </si>
  <si>
    <t>Price/component</t>
  </si>
  <si>
    <t>Total Price</t>
  </si>
  <si>
    <t>Supplier POC Email</t>
  </si>
  <si>
    <t>IP00231</t>
  </si>
  <si>
    <t>Instrument Panel</t>
  </si>
  <si>
    <t>INDIA</t>
  </si>
  <si>
    <t>The Instrument Panel is manufactured using PP-TD20, PU foam, TPO, ABS/PC, high-strength steel, and kenaf fibre composite through injection moulding, thermoforming, PU foaming, and assembly. The component is then trimmed, bonded, inspected, and packaged for shipment.</t>
  </si>
  <si>
    <t>hruday480@gmail.com</t>
  </si>
  <si>
    <t>H92132</t>
  </si>
  <si>
    <t>Headliner</t>
  </si>
  <si>
    <t>Pradeep Metals</t>
  </si>
  <si>
    <t>Recycled PET fibres, polyester fabric, and polyurethane foam with adhesive are processed through fibre formation, thermoforming, and lamination to manufacture the automotive headliner.</t>
  </si>
  <si>
    <t>Company Information</t>
  </si>
  <si>
    <t>Question</t>
  </si>
  <si>
    <t>Supplier Input</t>
  </si>
  <si>
    <t>Company Name</t>
  </si>
  <si>
    <t>Company ID</t>
  </si>
  <si>
    <t>AAI-IND-001245</t>
  </si>
  <si>
    <t>BPN</t>
  </si>
  <si>
    <t>BPNL0000000AIP123</t>
  </si>
  <si>
    <t>Site Name</t>
  </si>
  <si>
    <t>India Motor Part  Automotive Interior Components Plant</t>
  </si>
  <si>
    <t>Country</t>
  </si>
  <si>
    <t>India</t>
  </si>
  <si>
    <t>Region</t>
  </si>
  <si>
    <t>Maharashtra</t>
  </si>
  <si>
    <t>City</t>
  </si>
  <si>
    <t>Pune</t>
  </si>
  <si>
    <t>Reporting Start</t>
  </si>
  <si>
    <t>Reporting End</t>
  </si>
  <si>
    <t>Product site information</t>
  </si>
  <si>
    <t>Site Address</t>
  </si>
  <si>
    <t>Plot No. A-47, Chakan Industrial Area, Phase II, MIDC, Mahalunge Ingale, Khed Taluka, Pune – 410501</t>
  </si>
  <si>
    <t>Subdivision</t>
  </si>
  <si>
    <t>Pune District</t>
  </si>
  <si>
    <t>Asia-Pacific</t>
  </si>
  <si>
    <t>Field</t>
  </si>
  <si>
    <t>Value</t>
  </si>
  <si>
    <t>Product ID</t>
  </si>
  <si>
    <t>IP-ASSY-001</t>
  </si>
  <si>
    <t>Product Name</t>
  </si>
  <si>
    <t>Instrument Panel Assembly</t>
  </si>
  <si>
    <t>Weight in Kg</t>
  </si>
  <si>
    <t>Quantity</t>
  </si>
  <si>
    <t>Declared Unit</t>
  </si>
  <si>
    <t>Piece</t>
  </si>
  <si>
    <t>Economic Value</t>
  </si>
  <si>
    <t>Co-product Value(if any)</t>
  </si>
  <si>
    <t>Economic ratio</t>
  </si>
  <si>
    <t>Rawmaterial Information</t>
  </si>
  <si>
    <t>Talc-Filled Polypropylene (Main Instrument Panel Carrier/Substrate)</t>
  </si>
  <si>
    <t>Flexible PU Energy-Absorbing Foam</t>
  </si>
  <si>
    <t>High-Strength Steel</t>
  </si>
  <si>
    <t>Thermoplastic Olefin Decorative Surface Skin</t>
  </si>
  <si>
    <t>Air Vent Assemblies, Glove Box &amp; Trim Components</t>
  </si>
  <si>
    <t>Category</t>
  </si>
  <si>
    <t>Plastics &amp; Polymers</t>
  </si>
  <si>
    <t>Metal Materials</t>
  </si>
  <si>
    <t>Construction Materials</t>
  </si>
  <si>
    <t>Q8 Supplier Inputs</t>
  </si>
  <si>
    <t>Sub-Category</t>
  </si>
  <si>
    <t xml:space="preserve">Polypropylene </t>
  </si>
  <si>
    <t>Polyurethane</t>
  </si>
  <si>
    <t>Steel &amp; Iron</t>
  </si>
  <si>
    <t>Building Materials (Other)</t>
  </si>
  <si>
    <t>ABS</t>
  </si>
  <si>
    <t>Group</t>
  </si>
  <si>
    <t>Polypropylene</t>
  </si>
  <si>
    <t xml:space="preserve">Steel </t>
  </si>
  <si>
    <t>Sealing sheeting polyolefin (TPO)</t>
  </si>
  <si>
    <t>Styrene-acrylonitrile copolymer</t>
  </si>
  <si>
    <t>Specific type</t>
  </si>
  <si>
    <t>Granulate, at the factory</t>
  </si>
  <si>
    <t>Rigid foam, at the factory</t>
  </si>
  <si>
    <t xml:space="preserve">Electric, low-alloyed, at the factory, best plants (min. values) </t>
  </si>
  <si>
    <t xml:space="preserve">At the factory </t>
  </si>
  <si>
    <t>Styrene acrylonitrile plastic, at the factory</t>
  </si>
  <si>
    <t>Mass %</t>
  </si>
  <si>
    <t>Q8 Supplier Input from Mass % Column</t>
  </si>
  <si>
    <t>Weight kg</t>
  </si>
  <si>
    <t>Formula : Weight of the Component  X  with respective Mass % from Q8.Material Percentage</t>
  </si>
  <si>
    <t>Deployed weight (Includes Material Scrap Weight also)</t>
  </si>
  <si>
    <t>Deployed Weight = Material Weight + Scrap weight</t>
  </si>
  <si>
    <t>Carbon %</t>
  </si>
  <si>
    <t>Q8 Supplier Input or Secondary database from Carbon Content % Column</t>
  </si>
  <si>
    <t>Carbon Content in Kg</t>
  </si>
  <si>
    <t>Formula : Weight of respective Material  Composition X Carbon %</t>
  </si>
  <si>
    <t>Total carbon</t>
  </si>
  <si>
    <t>Formula : Sum of all composition carbon content in kgs</t>
  </si>
  <si>
    <t>Biogenic %</t>
  </si>
  <si>
    <t>Q8 Supplier Input or Secondary database from Biogenic % Column</t>
  </si>
  <si>
    <t>Biogenic Carbon in kg</t>
  </si>
  <si>
    <t>Formula : Weight of respective Material Composition X Carbon %</t>
  </si>
  <si>
    <t>Biogenic Carbon Fraction</t>
  </si>
  <si>
    <t>Formula : Biogenic Carbon in kgs / 100 to get Biogenic Carbon Fraction</t>
  </si>
  <si>
    <t>Total Biogenic Carbon</t>
  </si>
  <si>
    <t>Formula : Sum of all composition Biogenic Carbon Content in kgs</t>
  </si>
  <si>
    <t>Recycled %</t>
  </si>
  <si>
    <t>Q8 Supplier Input or Secondary database from Recycled % Column</t>
  </si>
  <si>
    <t>Recycled Content in kg</t>
  </si>
  <si>
    <t>Formula : Weight of respective Material Composition X Recycled %</t>
  </si>
  <si>
    <t>Total Recycled Carbon</t>
  </si>
  <si>
    <t>Formula : Sum of all composition Recyled  Content in kgs</t>
  </si>
  <si>
    <t>Fossil Carbon</t>
  </si>
  <si>
    <t>Formula : Total Carbon content - Recycled Carbon Content - Biogenic Carbon</t>
  </si>
  <si>
    <t>EF (kg CO2e)</t>
  </si>
  <si>
    <t>Emission factor feltching from BAFU Database in Backend</t>
  </si>
  <si>
    <t>Emission (kg CO2e)</t>
  </si>
  <si>
    <t>Formula : Composition weight X Emission factor = Respective Composition emissions</t>
  </si>
  <si>
    <t>Material Emission (kg CO2e)</t>
  </si>
  <si>
    <t>Formula : Sum of all each Composition Emissions</t>
  </si>
  <si>
    <t>Rawmaterial Sourcing Transportation (Inbound Transportation)</t>
  </si>
  <si>
    <t>PP-TD20 (Talc-filled Polypropylene)</t>
  </si>
  <si>
    <t>Flexible PU Foam Chemicals (Polyol &amp; Isocyanate)</t>
  </si>
  <si>
    <t>High-Strength Low-Alloy Steel</t>
  </si>
  <si>
    <t>Thermoplastic Olefin (TPO)</t>
  </si>
  <si>
    <t>ABS/PC Resin</t>
  </si>
  <si>
    <t>Transport</t>
  </si>
  <si>
    <t>Q8c Rawmaterial sourcing transportation inputs by supplier</t>
  </si>
  <si>
    <t>Truck — Diesel</t>
  </si>
  <si>
    <t>Truck — Average Mix</t>
  </si>
  <si>
    <t>Truck — Electric</t>
  </si>
  <si>
    <t>Truck — Hybrid</t>
  </si>
  <si>
    <t>18 tonne</t>
  </si>
  <si>
    <t xml:space="preserve"> 3.5 tonne</t>
  </si>
  <si>
    <t xml:space="preserve"> lithium iron phosphate battery</t>
  </si>
  <si>
    <t xml:space="preserve"> diesel hybrid</t>
  </si>
  <si>
    <t xml:space="preserve">2002, Euro 3, long distance </t>
  </si>
  <si>
    <t xml:space="preserve">All engine types </t>
  </si>
  <si>
    <t xml:space="preserve">18 tonne, 2020, regional delivery </t>
  </si>
  <si>
    <t xml:space="preserve">18 tonne, 2020, Euro 6, long distance </t>
  </si>
  <si>
    <t>Source</t>
  </si>
  <si>
    <t>Destination</t>
  </si>
  <si>
    <t>Raw Material Weight (Tonnes)</t>
  </si>
  <si>
    <t>Deployed weight per component in tonnes</t>
  </si>
  <si>
    <t>Distance (km)</t>
  </si>
  <si>
    <t>transport Mode Emission Factor Value (kg CO₂e / t-km)</t>
  </si>
  <si>
    <t>Leg wise transport emissions per unit  (kg CO₂e)</t>
  </si>
  <si>
    <t>Total Transportation emissions per unit (kg CO₂e)</t>
  </si>
  <si>
    <t>Formula : Weight X Distance X Emission factor</t>
  </si>
  <si>
    <t>Packaging Material</t>
  </si>
  <si>
    <t>Paper &amp; Board</t>
  </si>
  <si>
    <t>Q16- Packaging Materials Inputs by Supplier</t>
  </si>
  <si>
    <t>Corrugated Board</t>
  </si>
  <si>
    <t>Material Emission</t>
  </si>
  <si>
    <t>Corrugated board</t>
  </si>
  <si>
    <t>Production Emission</t>
  </si>
  <si>
    <t xml:space="preserve">Mixed fibre, single wall, at the factory </t>
  </si>
  <si>
    <t>Waste Emission</t>
  </si>
  <si>
    <t>Q16 Packaging weight column</t>
  </si>
  <si>
    <t>Packaging Emission</t>
  </si>
  <si>
    <t>Emission factor</t>
  </si>
  <si>
    <t>Total</t>
  </si>
  <si>
    <t>Packaging Emission (kg CO2e)</t>
  </si>
  <si>
    <t>Formula : Packaging weight X Emission factor, Packaging transport weight X Distance X Emission factor</t>
  </si>
  <si>
    <t>Total Packaging Emission (kg CO2e)</t>
  </si>
  <si>
    <t>Formula : Sum of all packaging emissions</t>
  </si>
  <si>
    <t>Packaging Material Transportation</t>
  </si>
  <si>
    <t>Q16a Packaging Material Transportation</t>
  </si>
  <si>
    <t>Aircraft</t>
  </si>
  <si>
    <t>Aircraft packagingghg emissions should be accounted in the Packagingaircraftghgemission datapoint (as per catena-x datapoint )</t>
  </si>
  <si>
    <t xml:space="preserve">Freight </t>
  </si>
  <si>
    <t>3.5 tonne</t>
  </si>
  <si>
    <t xml:space="preserve">3.5 tonne, 2020, town delivery </t>
  </si>
  <si>
    <t xml:space="preserve">Freight, long distance </t>
  </si>
  <si>
    <t>source location</t>
  </si>
  <si>
    <t>Dubai International Airport (DXB)</t>
  </si>
  <si>
    <t>Drop location</t>
  </si>
  <si>
    <t>Destination Site</t>
  </si>
  <si>
    <t>Mass transported (Packaging weight)</t>
  </si>
  <si>
    <t>Mass transported (ton)</t>
  </si>
  <si>
    <t>Distance (Km)</t>
  </si>
  <si>
    <t>Legwise emissions</t>
  </si>
  <si>
    <t>Total Packaging material Transportation emissions per unit (kg CO₂e)</t>
  </si>
  <si>
    <t>Formula : Packaging transport weight X Distance X Emission factor</t>
  </si>
  <si>
    <t>Electricity Information</t>
  </si>
  <si>
    <t>Electricity</t>
  </si>
  <si>
    <t>Q10 Electricity Consumption input by Supplier</t>
  </si>
  <si>
    <t>Electricity — Grid Mix</t>
  </si>
  <si>
    <t xml:space="preserve"> high voltage</t>
  </si>
  <si>
    <t xml:space="preserve">At the grid </t>
  </si>
  <si>
    <t>Geography</t>
  </si>
  <si>
    <t>IN-India</t>
  </si>
  <si>
    <t>Total Energy consumed at Factory level (kWh)</t>
  </si>
  <si>
    <t xml:space="preserve">Q10 Quantity Column-Total Electricity used at factory level </t>
  </si>
  <si>
    <t>Total weight produced  at Factory level (kg)</t>
  </si>
  <si>
    <t>Q10a Total weight produced at factory level</t>
  </si>
  <si>
    <t>No of products current copomnent produced</t>
  </si>
  <si>
    <t>Q10b No of Products current Component Produced</t>
  </si>
  <si>
    <t>Total weight of current component produced (Kg)</t>
  </si>
  <si>
    <t>Formula : Weight the Component X No of Products Current Component Produced</t>
  </si>
  <si>
    <t>Total electricity utilised for production all current components (kWh)</t>
  </si>
  <si>
    <t xml:space="preserve">Formula : (Total Weight of Current Components produced / Total weight produced at factory level ) X Total Energy Consumed at Factory level </t>
  </si>
  <si>
    <t>Production electricity energy use per unit (kWh )</t>
  </si>
  <si>
    <t>Formula : Total electricity utilised for prodction all Current Components / No of Products Current Components Produced</t>
  </si>
  <si>
    <t>Emission Factor of electricity (kg CO2e)</t>
  </si>
  <si>
    <t>Electricity / Production Emission (kg CO2e)</t>
  </si>
  <si>
    <t>Formula : Production electricity energy use per unit X Emission factor</t>
  </si>
  <si>
    <t>Quality control and IT Energy Information</t>
  </si>
  <si>
    <t>Equipment type</t>
  </si>
  <si>
    <t>Vision Inspection System</t>
  </si>
  <si>
    <t>Q13 Energy Consumption for QC &amp; IT Inputs by Suppliers</t>
  </si>
  <si>
    <t xml:space="preserve">Category </t>
  </si>
  <si>
    <t>Sub-category</t>
  </si>
  <si>
    <t>Energy consumption value</t>
  </si>
  <si>
    <t xml:space="preserve">Q13 Electricity Consumption for Equipment </t>
  </si>
  <si>
    <t>QC &amp; IT Energy Consumed for all Current components</t>
  </si>
  <si>
    <t xml:space="preserve">Formula : (Total Weight of Current Components produced / Total weight produced at factory level ) X Total Electricity used for  QC &amp; IT </t>
  </si>
  <si>
    <t>QC &amp; IT Energy Consumed per component</t>
  </si>
  <si>
    <t>Formula : Total QC &amp; IT Energy  Consumed for all Current Components / No of Products Current Components Produced</t>
  </si>
  <si>
    <t>Unit</t>
  </si>
  <si>
    <t>kWh</t>
  </si>
  <si>
    <t>Emission factor for QC &amp; IT Emissions (Kg CO2e)</t>
  </si>
  <si>
    <t>Total Emission for Quality control &amp; IT Energy (Kg CO2e)</t>
  </si>
  <si>
    <t>Formula : QC &amp; IT Energy Consumed per Component X Emission factor</t>
  </si>
  <si>
    <t>Fuel or Energy carriers information</t>
  </si>
  <si>
    <t>Type of Fuel or Energy</t>
  </si>
  <si>
    <t>Diesel</t>
  </si>
  <si>
    <t>Q11 Fuels or Utilities Inputs by Suppliers</t>
  </si>
  <si>
    <t>Fuels</t>
  </si>
  <si>
    <t>Biodiesel</t>
  </si>
  <si>
    <t>From used cooking oil, at the filling station</t>
  </si>
  <si>
    <t xml:space="preserve">Q11 Fuel or Utilities Consumption </t>
  </si>
  <si>
    <t>Liters</t>
  </si>
  <si>
    <t>Fuel or Energy used for all Current Components</t>
  </si>
  <si>
    <t>Formula : (Total Weight of Current Components produced / Total weight produced at factory level ) X Total Quantity used for Fuels or Utilities</t>
  </si>
  <si>
    <t>Fuel or Energy used per Component</t>
  </si>
  <si>
    <t>Formula : Total Fuel or Energy Consumed for all Current Components / No of Products Current Components Produced</t>
  </si>
  <si>
    <t>Emission factor for fuel &amp; Energy (Kg Co2e)</t>
  </si>
  <si>
    <t>Total Emissions for Fuel &amp; Energy (kg CO2e)</t>
  </si>
  <si>
    <t>Formula : Fuel or Energy Used per Component X Emission factor</t>
  </si>
  <si>
    <t>Process Emissions Information</t>
  </si>
  <si>
    <t>Gas</t>
  </si>
  <si>
    <t>CO2</t>
  </si>
  <si>
    <t>CH4</t>
  </si>
  <si>
    <t>N20</t>
  </si>
  <si>
    <t>Q12 Process Emissons input by Supplier</t>
  </si>
  <si>
    <t>Process emissions Sources</t>
  </si>
  <si>
    <t xml:space="preserve">Q12 Process Emission Quantity </t>
  </si>
  <si>
    <t>PU Foam Moulding</t>
  </si>
  <si>
    <t>Process Emission for all current component</t>
  </si>
  <si>
    <t>Formula : (Total Weight of Current Components produced / Total weight produced at factory level ) X Total Quantity of Process emissions</t>
  </si>
  <si>
    <t>Process Emission Per Component</t>
  </si>
  <si>
    <t>Formula : Total Process emissions for all Current Components / No of Products Current Components Produced</t>
  </si>
  <si>
    <t xml:space="preserve">Emission factor from IPCC GWP100 </t>
  </si>
  <si>
    <t>Formula : Process Emission Quantity X IPCC GWP Emission factor</t>
  </si>
  <si>
    <t>Total Emission (kg CO2e)</t>
  </si>
  <si>
    <t>Sum of all Process Emissions</t>
  </si>
  <si>
    <t>Auxiliaries (Process Consumable Materials ) Information</t>
  </si>
  <si>
    <t>Materials</t>
  </si>
  <si>
    <t>Chemicals</t>
  </si>
  <si>
    <t>Q8b Process Consumable Materials inputs by Supplier</t>
  </si>
  <si>
    <t>Lubricants and Waxes</t>
  </si>
  <si>
    <t>Lubricating oils and waxes</t>
  </si>
  <si>
    <t xml:space="preserve">Lubricating oil, at the factory </t>
  </si>
  <si>
    <t>Q8b Consumable Materials Quantity</t>
  </si>
  <si>
    <t>Auxiliaries used for all Current Components</t>
  </si>
  <si>
    <t>Formula : (Total Weight of Current Components produced / Total weight produced at factory level ) X Total Quantity use for Consumable Materials</t>
  </si>
  <si>
    <t>Auxiliaires used Per Component</t>
  </si>
  <si>
    <t>Formula : Total Auxiliaries used for all Current Components / No of Products Current Components Produced</t>
  </si>
  <si>
    <t>Emission factor for Auxiliaires</t>
  </si>
  <si>
    <t>Total Emission of Process Consumable Materials (kg CO2e)</t>
  </si>
  <si>
    <t>Formula : Auxiliaries Used Per Component X Emission Factor</t>
  </si>
  <si>
    <t>Transportation Information</t>
  </si>
  <si>
    <t>Q19 Transportation inputs by Suppliers</t>
  </si>
  <si>
    <t>Q19 Sourcing and Destination inputs by Supplier</t>
  </si>
  <si>
    <t>Dubai Industrial City</t>
  </si>
  <si>
    <t xml:space="preserve">Mass transported </t>
  </si>
  <si>
    <t>Formula : Include Component weight, Packaging Weight while Calculating Transport Emissions</t>
  </si>
  <si>
    <t>Formula : Convert the Mass Transported in to Tonnes (Mass Transported / 1000)</t>
  </si>
  <si>
    <t>Q19 Distance Covered while Transportation of Component input by Supplier</t>
  </si>
  <si>
    <t>Formula : Mass Transported in tonnes X Distance X Emission factor</t>
  </si>
  <si>
    <t>Sum of each leg wise transportation emission per unit</t>
  </si>
  <si>
    <t>Biofeed stock Information</t>
  </si>
  <si>
    <t>Type of Biomassed feed stock</t>
  </si>
  <si>
    <t>Q20 Biobased feed stock inputs by Supplier</t>
  </si>
  <si>
    <t>in  which process its used</t>
  </si>
  <si>
    <t>Quantity in kg</t>
  </si>
  <si>
    <t>Q20 Biobased Quantity in material</t>
  </si>
  <si>
    <t>biogenic carbon content</t>
  </si>
  <si>
    <t>Q20 Biogenic Carbon Content</t>
  </si>
  <si>
    <t>use of agri/forest land</t>
  </si>
  <si>
    <t xml:space="preserve">Q20 Use of Agri/forest land </t>
  </si>
  <si>
    <t>land area in hectare</t>
  </si>
  <si>
    <t xml:space="preserve">Q20 Land Area used </t>
  </si>
  <si>
    <t>Production Waste Information</t>
  </si>
  <si>
    <t>If Supplier Provides weight in kgs</t>
  </si>
  <si>
    <t>Component weight in kg</t>
  </si>
  <si>
    <t>Q14 factory level waste generated inputs by supplier</t>
  </si>
  <si>
    <t>Decorative skin Scrap in kg</t>
  </si>
  <si>
    <t>Trim Components Scrap in kg</t>
  </si>
  <si>
    <t>Scrap in Kg</t>
  </si>
  <si>
    <t>No. of Current Components produced</t>
  </si>
  <si>
    <t>inputs from the 10b</t>
  </si>
  <si>
    <t>Total Scarp weight per material in kg</t>
  </si>
  <si>
    <t>Scrap weight / No of Current Components Produced</t>
  </si>
  <si>
    <t>Waste Treatment</t>
  </si>
  <si>
    <t>Q14. Production Waste &amp; Quality Control Waste inputs by Supplier</t>
  </si>
  <si>
    <t>Waste in Kg (Factory)</t>
  </si>
  <si>
    <t>Waste Handling (Other)</t>
  </si>
  <si>
    <t>aluminium</t>
  </si>
  <si>
    <t>rubber</t>
  </si>
  <si>
    <t>polyethylene</t>
  </si>
  <si>
    <t>Iron scrap</t>
  </si>
  <si>
    <t>in kg</t>
  </si>
  <si>
    <t xml:space="preserve">From concrete demolition, at the factory </t>
  </si>
  <si>
    <t>Scrap per material</t>
  </si>
  <si>
    <t xml:space="preserve">Waste generated per component (Kg) </t>
  </si>
  <si>
    <t>Q14 Waste generated per Box</t>
  </si>
  <si>
    <t>Scrap per Component</t>
  </si>
  <si>
    <t>kg</t>
  </si>
  <si>
    <t>Emission Factor for waste treatment (kg CO₂e/kg)</t>
  </si>
  <si>
    <t>Production waste emissions</t>
  </si>
  <si>
    <t>If Supplier Provides weight in %</t>
  </si>
  <si>
    <t>Totol Scarp weight  of product in kg</t>
  </si>
  <si>
    <t>Total Scrap per component in kg</t>
  </si>
  <si>
    <t>EF</t>
  </si>
  <si>
    <t xml:space="preserve">Production waste emissions </t>
  </si>
  <si>
    <t xml:space="preserve">Production waste Transportation </t>
  </si>
  <si>
    <t xml:space="preserve">Scrap </t>
  </si>
  <si>
    <t>Q14a Production waste transporation inputs by supplier</t>
  </si>
  <si>
    <t>Deployed weight</t>
  </si>
  <si>
    <t>Emision</t>
  </si>
  <si>
    <t>Total Factory Level Waste in kg</t>
  </si>
  <si>
    <t>Weight of the Components in Kg</t>
  </si>
  <si>
    <t>Percentage of Scrap</t>
  </si>
  <si>
    <t>Totol Scarp weight per Product in kg</t>
  </si>
  <si>
    <t>Scrap weight Per Component in Kg</t>
  </si>
  <si>
    <t>Deployed Weight In Kg</t>
  </si>
  <si>
    <t>% of Scrap</t>
  </si>
  <si>
    <t>component A</t>
  </si>
  <si>
    <t>Q14a Distance Covered while Transportation of Component input by Supplier</t>
  </si>
  <si>
    <t>Component B</t>
  </si>
  <si>
    <t>Component C</t>
  </si>
  <si>
    <t>Total weight in kg</t>
  </si>
  <si>
    <t>Total Production waste Transportation emissions per unit (kg CO₂e)</t>
  </si>
  <si>
    <t>Packaging Waste Information</t>
  </si>
  <si>
    <t>Q17 Packaging waste Inputs by Supplier</t>
  </si>
  <si>
    <t>Incineration</t>
  </si>
  <si>
    <t>Disposal, packaging cardboard</t>
  </si>
  <si>
    <t xml:space="preserve">19.6 percent water content, to a municipal waste incineration plant </t>
  </si>
  <si>
    <t xml:space="preserve">Packaging waste generated per box  (Kg) </t>
  </si>
  <si>
    <t xml:space="preserve">Q17 Packaging waste per box </t>
  </si>
  <si>
    <t>Emission Factor Packaging waste treatment (kg CO₂e/kg)</t>
  </si>
  <si>
    <t>Packaging waste emissions</t>
  </si>
  <si>
    <t>Formula : Waste generated per box X Emission factor + Packaging waste generated per box X Emission factor</t>
  </si>
  <si>
    <t>Packaging waste Transportation</t>
  </si>
  <si>
    <t>Q17a Packaging waste Transported Inputs by Supplier</t>
  </si>
  <si>
    <t xml:space="preserve"> 16 tonne-32 tonne</t>
  </si>
  <si>
    <t>Q17a Distance Covered while Transportation of Component input by Supplier</t>
  </si>
  <si>
    <t>Total Packaging waste Transportation emissions per unit (kg CO₂e)</t>
  </si>
  <si>
    <t xml:space="preserve">Updated </t>
  </si>
  <si>
    <t>Production</t>
  </si>
  <si>
    <t>Packaging</t>
  </si>
  <si>
    <t>Logistics</t>
  </si>
  <si>
    <t>Waste</t>
  </si>
  <si>
    <t>Excel Calculation</t>
  </si>
  <si>
    <t>Application Calculation</t>
  </si>
  <si>
    <t>Sri City Automotive Interior Components Manufacturing Plant</t>
  </si>
  <si>
    <t>Asia</t>
  </si>
  <si>
    <t>Andhra Pradesh</t>
  </si>
  <si>
    <t>Industrial Area, Sri City, Varadaiahpalem Mandal, Tirupati District, Andhra Pradesh – 517646, India</t>
  </si>
  <si>
    <t>Recycled PET Fibre</t>
  </si>
  <si>
    <t>Polyester Fabric</t>
  </si>
  <si>
    <t>Polyurethane (Foam &amp; Adhesive)</t>
  </si>
  <si>
    <t>Epoxy &amp; Resins</t>
  </si>
  <si>
    <t xml:space="preserve">Glass fibre reinforced plastic </t>
  </si>
  <si>
    <t>Polyester resin, hand lay-up shaping, at the factory</t>
  </si>
  <si>
    <t>Flexible foam, at the factory</t>
  </si>
  <si>
    <t>Mysuru karnataka</t>
  </si>
  <si>
    <t>Manufacturing consists of thermoforming, lamination, trimming, and assembly, which are mechanical and thermal operations. Their emissions are already captured under electricity and fuel consumption, with no significant direct process emissions.</t>
  </si>
  <si>
    <t>Ship &amp; Boat</t>
  </si>
  <si>
    <t>Barge</t>
  </si>
  <si>
    <t xml:space="preserve">Operation only </t>
  </si>
  <si>
    <t>Chennai Port, Chennai, Tamil Nadu, India</t>
  </si>
  <si>
    <t xml:space="preserve">1 Supplier 2 Components </t>
  </si>
  <si>
    <t>Reliance Industries Ltd. Dahej Plant, Dahej, Vagra Taluka, Bharuch, Gujarat, 393125, India</t>
  </si>
  <si>
    <t>Chakan Industrial Area, Bhamboli, Khed, Pune District, Maharashtra, India</t>
  </si>
  <si>
    <t>CRB 5, NH48, Irungattukottai, Sriperumbudur, Kanchipuram, Tamil Nadu, 602117, India</t>
  </si>
  <si>
    <t>Tata Steel, Jamshedpur, Golmuri-Cum-Jugsalai, East Singhbhum, Jharkhand, 831001, India</t>
  </si>
  <si>
    <t>Jeedimetla (Basthi Dawakhana), Jeedimetla Main Road, IDA Jeedimetla, Ward 130 Subash Nagar, Greater Hyderabad Municipal Corporation North Zone, Hyderabad, Quthbullapur mandal, Medchal–Malkajgiri, Telangana, 500055, India</t>
  </si>
  <si>
    <t>Sri City, Gollavaripalem, Satyavedu, Tirupati, Andhra Pradesh, 517646, India</t>
  </si>
  <si>
    <t>Reliance Industries, Gadimoga, Thallarevu, Kakinada, Andhra Pradesh, India</t>
  </si>
  <si>
    <t>Tirupati, Tirupati (Urban), Tirupati, Andhra Pradesh, 517500, India</t>
  </si>
  <si>
    <t>Pune, Pune City Subdistrict, Pune District, Maharashtra, 411001, India</t>
  </si>
  <si>
    <t>Dubai, Dubai Emirate, United Arab Emirates</t>
  </si>
  <si>
    <t>DXB Family Zone, Airport Road, Dubai International Airport, Dubai, Dubai Emirate, United Arab Emirates</t>
  </si>
  <si>
    <t>Chhatrapati Shivaji Maharaj International Airport, Shraddhanand Road, Andheri East, K/E Ward, Mumbai Zone 3, Mumbai, Mumbai Suburban District, Maharashtra, 400057, India</t>
  </si>
  <si>
    <t>Bangladesh</t>
  </si>
  <si>
    <t>Depot of Dhaka Metro (MRT-5), Hemayetpur, Boliarpur, Savar Subdistrict, Dhaka District, Dhaka Division, Bangladesh</t>
  </si>
  <si>
    <t>% of Current Component in factory level Weight</t>
  </si>
  <si>
    <t xml:space="preserve">Total weight waste Produced for Current Components </t>
  </si>
  <si>
    <t>Total Factory level Weight or percentage Waste given by Supplier (If not provided take default Weight % of 10% from total factory level weight)</t>
  </si>
  <si>
    <t>Percentage of Current Component waste in total factory level waste</t>
  </si>
  <si>
    <t>Talc-Filled Polypropylene</t>
  </si>
  <si>
    <t>Disposal, polyisocyanurate foam insulation with polyvinyl chloride cladding</t>
  </si>
  <si>
    <t xml:space="preserve">Insulation thickness 30 millimetre </t>
  </si>
  <si>
    <t xml:space="preserve">Total factory level Waste, if percentages is given </t>
  </si>
  <si>
    <t xml:space="preserve">Total Waste generated per Component </t>
  </si>
  <si>
    <t xml:space="preserve">No of Current Componets Produced </t>
  </si>
  <si>
    <t>Total Scarp weight  of product in kg</t>
  </si>
  <si>
    <t>Plastic plaster</t>
  </si>
  <si>
    <t xml:space="preserve">In sorting plant </t>
  </si>
  <si>
    <t>Disposal, building, polyurethane foam</t>
  </si>
  <si>
    <t xml:space="preserve">To final disposal </t>
  </si>
  <si>
    <t xml:space="preserve">Disposal, polyethylene </t>
  </si>
  <si>
    <t xml:space="preserve">0.4 percent water content, to a municipal waste incineration plant </t>
  </si>
  <si>
    <t>Disposal, pure hydrocarbon plastics (PE</t>
  </si>
  <si>
    <t xml:space="preserve">PP, acrylic plastic, PC, polyester), as building waste </t>
  </si>
  <si>
    <t>Disposal, plastics containing nitrogen (acrylonitrile butadiene styrene plastic</t>
  </si>
  <si>
    <t xml:space="preserve">Polyurethane, polyamide), as building waste </t>
  </si>
  <si>
    <t>s</t>
  </si>
  <si>
    <t xml:space="preserve">Waste </t>
  </si>
  <si>
    <t>Rawmaterila</t>
  </si>
  <si>
    <t>Rawmaterial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</si>
</sst>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#,##0.00000"/>
    <numFmt numFmtId="166" formatCode="0.00000000"/>
    <numFmt numFmtId="167" formatCode="0.000"/>
    <numFmt numFmtId="168" formatCode="0.0%"/>
    <numFmt numFmtId="169" formatCode="0.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sz val="11"/>
      <color rgb="FF242424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9" tint="0.399975585192419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4B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EDED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5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/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7" borderId="0" xfId="0" applyFont="1" applyFill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8" fillId="6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right" wrapText="1"/>
    </xf>
    <xf numFmtId="0" fontId="0" fillId="0" borderId="8" xfId="0" applyBorder="1" applyAlignment="1">
      <alignment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1" xfId="0" applyFont="1" applyBorder="1"/>
    <xf numFmtId="164" fontId="0" fillId="0" borderId="12" xfId="0" applyNumberForma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2" xfId="0" applyBorder="1"/>
    <xf numFmtId="0" fontId="0" fillId="0" borderId="0" xfId="0" applyAlignment="1">
      <alignment horizontal="left"/>
    </xf>
    <xf numFmtId="0" fontId="3" fillId="0" borderId="13" xfId="0" applyFont="1" applyBorder="1" applyAlignment="1">
      <alignment vertical="center" wrapText="1"/>
    </xf>
    <xf numFmtId="0" fontId="1" fillId="0" borderId="14" xfId="0" applyFont="1" applyBorder="1"/>
    <xf numFmtId="164" fontId="1" fillId="6" borderId="1" xfId="0" applyNumberFormat="1" applyFont="1" applyFill="1" applyBorder="1" applyAlignment="1">
      <alignment horizontal="center" vertical="center" wrapText="1"/>
    </xf>
    <xf numFmtId="164" fontId="1" fillId="6" borderId="3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8" fillId="4" borderId="1" xfId="0" applyFont="1" applyFill="1" applyBorder="1" applyAlignment="1">
      <alignment horizontal="left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/>
    <xf numFmtId="0" fontId="8" fillId="10" borderId="1" xfId="0" applyFont="1" applyFill="1" applyBorder="1" applyAlignment="1">
      <alignment wrapText="1"/>
    </xf>
    <xf numFmtId="164" fontId="7" fillId="0" borderId="1" xfId="0" applyNumberFormat="1" applyFont="1" applyBorder="1" applyAlignment="1">
      <alignment horizontal="left" vertical="center"/>
    </xf>
    <xf numFmtId="0" fontId="0" fillId="0" borderId="3" xfId="0" applyBorder="1"/>
    <xf numFmtId="0" fontId="10" fillId="0" borderId="1" xfId="0" applyFont="1" applyBorder="1"/>
    <xf numFmtId="164" fontId="1" fillId="6" borderId="3" xfId="0" applyNumberFormat="1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4" fillId="5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164" fontId="4" fillId="11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164" fontId="4" fillId="11" borderId="3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165" fontId="0" fillId="0" borderId="0" xfId="0" applyNumberFormat="1" applyAlignment="1">
      <alignment horizontal="left" vertical="center"/>
    </xf>
    <xf numFmtId="164" fontId="1" fillId="6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vertical="top" wrapText="1"/>
    </xf>
    <xf numFmtId="166" fontId="0" fillId="0" borderId="1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left" wrapText="1"/>
    </xf>
    <xf numFmtId="164" fontId="0" fillId="0" borderId="3" xfId="0" applyNumberFormat="1" applyBorder="1" applyAlignment="1">
      <alignment horizontal="left" wrapText="1"/>
    </xf>
    <xf numFmtId="164" fontId="1" fillId="6" borderId="3" xfId="0" applyNumberFormat="1" applyFont="1" applyFill="1" applyBorder="1" applyAlignment="1">
      <alignment horizontal="center" wrapText="1"/>
    </xf>
    <xf numFmtId="0" fontId="0" fillId="4" borderId="2" xfId="0" applyFill="1" applyBorder="1"/>
    <xf numFmtId="0" fontId="0" fillId="0" borderId="2" xfId="0" applyBorder="1"/>
    <xf numFmtId="0" fontId="0" fillId="0" borderId="5" xfId="0" applyBorder="1"/>
    <xf numFmtId="0" fontId="1" fillId="7" borderId="1" xfId="0" applyFont="1" applyFill="1" applyBorder="1"/>
    <xf numFmtId="0" fontId="0" fillId="4" borderId="1" xfId="0" applyFill="1" applyBorder="1"/>
    <xf numFmtId="9" fontId="0" fillId="0" borderId="1" xfId="0" applyNumberFormat="1" applyBorder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9" fontId="0" fillId="0" borderId="3" xfId="0" applyNumberFormat="1" applyBorder="1"/>
    <xf numFmtId="1" fontId="0" fillId="0" borderId="3" xfId="0" applyNumberFormat="1" applyBorder="1"/>
    <xf numFmtId="0" fontId="0" fillId="0" borderId="3" xfId="0" applyBorder="1" applyAlignment="1">
      <alignment wrapText="1"/>
    </xf>
    <xf numFmtId="167" fontId="0" fillId="0" borderId="0" xfId="0" applyNumberFormat="1"/>
    <xf numFmtId="0" fontId="8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9" fontId="0" fillId="0" borderId="1" xfId="0" applyNumberFormat="1" applyBorder="1"/>
    <xf numFmtId="164" fontId="7" fillId="0" borderId="1" xfId="0" applyNumberFormat="1" applyFont="1" applyBorder="1" applyAlignment="1">
      <alignment horizontal="left" vertical="center" wrapText="1"/>
    </xf>
    <xf numFmtId="168" fontId="0" fillId="0" borderId="0" xfId="0" applyNumberFormat="1"/>
    <xf numFmtId="0" fontId="8" fillId="4" borderId="2" xfId="0" applyFont="1" applyFill="1" applyBorder="1" applyAlignment="1">
      <alignment horizontal="left" wrapText="1"/>
    </xf>
    <xf numFmtId="0" fontId="8" fillId="4" borderId="7" xfId="0" applyFont="1" applyFill="1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8" fillId="4" borderId="8" xfId="0" applyFont="1" applyFill="1" applyBorder="1" applyAlignment="1">
      <alignment horizontal="left" wrapText="1"/>
    </xf>
    <xf numFmtId="9" fontId="0" fillId="0" borderId="0" xfId="0" applyNumberFormat="1"/>
    <xf numFmtId="0" fontId="11" fillId="4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center"/>
    </xf>
    <xf numFmtId="0" fontId="1" fillId="1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0" fontId="1" fillId="0" borderId="0" xfId="0" applyFont="1"/>
    <xf numFmtId="0" fontId="1" fillId="13" borderId="1" xfId="0" applyFont="1" applyFill="1" applyBorder="1"/>
    <xf numFmtId="164" fontId="1" fillId="13" borderId="1" xfId="0" applyNumberFormat="1" applyFont="1" applyFill="1" applyBorder="1"/>
    <xf numFmtId="0" fontId="0" fillId="13" borderId="1" xfId="0" applyFill="1" applyBorder="1"/>
    <xf numFmtId="10" fontId="0" fillId="0" borderId="1" xfId="0" applyNumberFormat="1" applyBorder="1" applyAlignment="1">
      <alignment horizontal="left" vertical="center" wrapText="1"/>
    </xf>
    <xf numFmtId="10" fontId="0" fillId="0" borderId="3" xfId="0" applyNumberFormat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10" fontId="0" fillId="0" borderId="1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169" fontId="0" fillId="0" borderId="1" xfId="0" applyNumberFormat="1" applyBorder="1" applyAlignment="1">
      <alignment horizontal="left" vertical="top" wrapText="1"/>
    </xf>
    <xf numFmtId="0" fontId="2" fillId="0" borderId="1" xfId="1" applyBorder="1" applyAlignment="1">
      <alignment vertical="center" wrapText="1"/>
    </xf>
    <xf numFmtId="0" fontId="15" fillId="14" borderId="1" xfId="0" applyFont="1" applyFill="1" applyBorder="1" applyAlignment="1">
      <alignment wrapText="1"/>
    </xf>
    <xf numFmtId="0" fontId="0" fillId="4" borderId="3" xfId="0" applyFill="1" applyBorder="1" applyAlignment="1">
      <alignment vertical="top" wrapText="1"/>
    </xf>
    <xf numFmtId="169" fontId="12" fillId="6" borderId="1" xfId="0" applyNumberFormat="1" applyFont="1" applyFill="1" applyBorder="1" applyAlignment="1">
      <alignment vertical="center" wrapText="1"/>
    </xf>
    <xf numFmtId="10" fontId="0" fillId="0" borderId="1" xfId="0" applyNumberFormat="1" applyBorder="1"/>
    <xf numFmtId="0" fontId="1" fillId="0" borderId="1" xfId="0" applyFont="1" applyBorder="1" applyAlignment="1">
      <alignment wrapText="1"/>
    </xf>
    <xf numFmtId="2" fontId="0" fillId="0" borderId="1" xfId="0" applyNumberFormat="1" applyBorder="1"/>
    <xf numFmtId="0" fontId="8" fillId="4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wrapText="1"/>
    </xf>
    <xf numFmtId="1" fontId="0" fillId="0" borderId="1" xfId="0" applyNumberFormat="1" applyBorder="1"/>
    <xf numFmtId="164" fontId="1" fillId="6" borderId="1" xfId="0" applyNumberFormat="1" applyFont="1" applyFill="1" applyBorder="1" applyAlignment="1">
      <alignment horizontal="center" vertical="center" wrapText="1"/>
    </xf>
    <xf numFmtId="164" fontId="1" fillId="6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center" wrapText="1"/>
    </xf>
    <xf numFmtId="164" fontId="1" fillId="6" borderId="3" xfId="0" applyNumberFormat="1" applyFont="1" applyFill="1" applyBorder="1" applyAlignment="1">
      <alignment horizontal="center" wrapText="1"/>
    </xf>
    <xf numFmtId="164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4" fillId="11" borderId="1" xfId="0" applyNumberFormat="1" applyFont="1" applyFill="1" applyBorder="1" applyAlignment="1">
      <alignment horizontal="center" vertical="top" wrapText="1"/>
    </xf>
    <xf numFmtId="164" fontId="4" fillId="11" borderId="3" xfId="0" applyNumberFormat="1" applyFont="1" applyFill="1" applyBorder="1" applyAlignment="1">
      <alignment horizontal="center" vertical="top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1" borderId="3" xfId="0" applyNumberFormat="1" applyFont="1" applyFill="1" applyBorder="1" applyAlignment="1">
      <alignment horizontal="center" vertical="center" wrapText="1"/>
    </xf>
    <xf numFmtId="164" fontId="1" fillId="6" borderId="15" xfId="0" applyNumberFormat="1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164" fontId="1" fillId="1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uday480@gmail.com" TargetMode="External"/><Relationship Id="rId1" Type="http://schemas.openxmlformats.org/officeDocument/2006/relationships/hyperlink" Target="mailto:hruday4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33BE-581A-4A81-8041-F399C9AAC71B}">
  <dimension ref="A1:K3"/>
  <sheetViews>
    <sheetView workbookViewId="0">
      <selection activeCell="D7" sqref="D7"/>
    </sheetView>
  </sheetViews>
  <sheetFormatPr defaultRowHeight="14.4" x14ac:dyDescent="0.3"/>
  <cols>
    <col min="1" max="1" width="18.109375" customWidth="1"/>
    <col min="2" max="2" width="21" customWidth="1"/>
    <col min="3" max="3" width="15.88671875" customWidth="1"/>
    <col min="4" max="4" width="20.5546875" customWidth="1"/>
    <col min="5" max="5" width="19.109375" customWidth="1"/>
    <col min="6" max="6" width="31.5546875" customWidth="1"/>
    <col min="7" max="7" width="15" customWidth="1"/>
    <col min="8" max="9" width="13.5546875" customWidth="1"/>
    <col min="10" max="10" width="30.6640625" customWidth="1"/>
    <col min="11" max="11" width="16.77734375" customWidth="1"/>
  </cols>
  <sheetData>
    <row r="1" spans="1:1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29.6" x14ac:dyDescent="0.3">
      <c r="A2" s="132" t="s">
        <v>10</v>
      </c>
      <c r="B2" s="2" t="s">
        <v>11</v>
      </c>
      <c r="C2" s="132">
        <v>1</v>
      </c>
      <c r="D2" s="132" t="s">
        <v>12</v>
      </c>
      <c r="E2" s="2" t="s">
        <v>17</v>
      </c>
      <c r="F2" s="37" t="s">
        <v>13</v>
      </c>
      <c r="G2" s="132">
        <v>7000</v>
      </c>
      <c r="H2" s="2">
        <v>1400</v>
      </c>
      <c r="I2" s="2">
        <v>1400</v>
      </c>
      <c r="J2" s="135" t="s">
        <v>14</v>
      </c>
      <c r="K2" s="160" t="s">
        <v>382</v>
      </c>
    </row>
    <row r="3" spans="1:11" ht="86.4" x14ac:dyDescent="0.3">
      <c r="A3" s="2" t="s">
        <v>15</v>
      </c>
      <c r="B3" s="2" t="s">
        <v>16</v>
      </c>
      <c r="C3" s="2">
        <v>1</v>
      </c>
      <c r="D3" s="132" t="s">
        <v>12</v>
      </c>
      <c r="E3" s="2" t="s">
        <v>17</v>
      </c>
      <c r="F3" s="87" t="s">
        <v>18</v>
      </c>
      <c r="G3" s="2">
        <v>2800</v>
      </c>
      <c r="H3" s="2">
        <v>1500</v>
      </c>
      <c r="I3" s="2">
        <v>1500</v>
      </c>
      <c r="J3" s="135" t="s">
        <v>14</v>
      </c>
      <c r="K3" s="160"/>
    </row>
  </sheetData>
  <mergeCells count="1">
    <mergeCell ref="K2:K3"/>
  </mergeCells>
  <hyperlinks>
    <hyperlink ref="J2" r:id="rId1" xr:uid="{C79906BE-C27C-4D58-8E77-0CE34A0C6715}"/>
    <hyperlink ref="J3" r:id="rId2" xr:uid="{A38E6995-0586-4BC0-BA3C-787259A1E7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4F37-2615-49AB-B168-6D894B2B902C}">
  <dimension ref="A1:X274"/>
  <sheetViews>
    <sheetView topLeftCell="A246" workbookViewId="0">
      <selection activeCell="B265" sqref="B265"/>
    </sheetView>
  </sheetViews>
  <sheetFormatPr defaultRowHeight="15" customHeight="1" x14ac:dyDescent="0.3"/>
  <cols>
    <col min="1" max="1" width="48.5546875" customWidth="1"/>
    <col min="2" max="2" width="31.6640625" customWidth="1"/>
    <col min="3" max="3" width="36.44140625" customWidth="1"/>
    <col min="4" max="7" width="30.5546875" customWidth="1"/>
    <col min="8" max="8" width="47" customWidth="1"/>
    <col min="10" max="10" width="15.44140625" customWidth="1"/>
    <col min="11" max="11" width="12.44140625" customWidth="1"/>
    <col min="13" max="13" width="22.6640625" customWidth="1"/>
    <col min="14" max="14" width="11.5546875" bestFit="1" customWidth="1"/>
    <col min="15" max="15" width="13.44140625" customWidth="1"/>
    <col min="16" max="16" width="11.88671875" customWidth="1"/>
    <col min="17" max="17" width="11.109375" customWidth="1"/>
  </cols>
  <sheetData>
    <row r="1" spans="1:8" ht="14.4" x14ac:dyDescent="0.3">
      <c r="A1" s="4" t="s">
        <v>19</v>
      </c>
      <c r="B1" s="5"/>
      <c r="C1" s="5"/>
      <c r="D1" s="6"/>
      <c r="E1" s="6"/>
      <c r="F1" s="6"/>
      <c r="G1" s="6"/>
      <c r="H1" s="7"/>
    </row>
    <row r="2" spans="1:8" ht="14.4" x14ac:dyDescent="0.3">
      <c r="A2" s="8" t="s">
        <v>20</v>
      </c>
      <c r="B2" s="9" t="s">
        <v>21</v>
      </c>
      <c r="C2" s="5"/>
      <c r="D2" s="6"/>
      <c r="E2" s="6"/>
      <c r="F2" s="6"/>
      <c r="G2" s="6"/>
      <c r="H2" s="7"/>
    </row>
    <row r="3" spans="1:8" ht="14.4" x14ac:dyDescent="0.3">
      <c r="A3" s="8" t="s">
        <v>22</v>
      </c>
      <c r="B3" t="s">
        <v>17</v>
      </c>
      <c r="C3" s="5"/>
      <c r="D3" s="6"/>
      <c r="E3" s="6"/>
      <c r="F3" s="6"/>
      <c r="G3" s="6"/>
      <c r="H3" s="7"/>
    </row>
    <row r="4" spans="1:8" ht="14.4" x14ac:dyDescent="0.3">
      <c r="A4" s="8" t="s">
        <v>23</v>
      </c>
      <c r="B4" s="10" t="s">
        <v>24</v>
      </c>
      <c r="C4" s="5"/>
      <c r="D4" s="6"/>
      <c r="E4" s="6"/>
      <c r="F4" s="6"/>
      <c r="G4" s="6"/>
      <c r="H4" s="7"/>
    </row>
    <row r="5" spans="1:8" ht="14.4" x14ac:dyDescent="0.3">
      <c r="A5" s="8" t="s">
        <v>25</v>
      </c>
      <c r="B5" s="10" t="s">
        <v>26</v>
      </c>
      <c r="C5" s="5"/>
      <c r="D5" s="6"/>
      <c r="E5" s="6"/>
      <c r="F5" s="6"/>
      <c r="G5" s="6"/>
      <c r="H5" s="7"/>
    </row>
    <row r="6" spans="1:8" ht="28.8" x14ac:dyDescent="0.3">
      <c r="A6" s="8" t="s">
        <v>27</v>
      </c>
      <c r="B6" s="10" t="s">
        <v>28</v>
      </c>
      <c r="C6" s="5"/>
      <c r="D6" s="6"/>
      <c r="E6" s="6"/>
      <c r="F6" s="6"/>
      <c r="G6" s="6"/>
      <c r="H6" s="7"/>
    </row>
    <row r="7" spans="1:8" ht="14.4" x14ac:dyDescent="0.3">
      <c r="A7" s="8" t="s">
        <v>29</v>
      </c>
      <c r="B7" s="10" t="s">
        <v>30</v>
      </c>
      <c r="C7" s="5"/>
      <c r="D7" s="6"/>
      <c r="E7" s="6"/>
      <c r="F7" s="6"/>
      <c r="G7" s="6"/>
      <c r="H7" s="7"/>
    </row>
    <row r="8" spans="1:8" ht="14.4" x14ac:dyDescent="0.3">
      <c r="A8" s="8" t="s">
        <v>31</v>
      </c>
      <c r="B8" s="5" t="s">
        <v>32</v>
      </c>
      <c r="C8" s="5"/>
      <c r="D8" s="6"/>
      <c r="E8" s="6"/>
      <c r="F8" s="6"/>
      <c r="G8" s="6"/>
      <c r="H8" s="7"/>
    </row>
    <row r="9" spans="1:8" ht="14.4" x14ac:dyDescent="0.3">
      <c r="A9" s="8" t="s">
        <v>33</v>
      </c>
      <c r="B9" s="5" t="s">
        <v>34</v>
      </c>
      <c r="C9" s="5"/>
      <c r="D9" s="6"/>
      <c r="E9" s="6"/>
      <c r="F9" s="6"/>
      <c r="G9" s="6"/>
      <c r="H9" s="7"/>
    </row>
    <row r="10" spans="1:8" ht="14.4" x14ac:dyDescent="0.3">
      <c r="A10" s="8" t="s">
        <v>35</v>
      </c>
      <c r="B10" s="11">
        <v>45658</v>
      </c>
      <c r="C10" s="5"/>
      <c r="D10" s="6"/>
      <c r="E10" s="6"/>
      <c r="F10" s="6"/>
      <c r="G10" s="6"/>
      <c r="H10" s="7"/>
    </row>
    <row r="11" spans="1:8" ht="14.4" x14ac:dyDescent="0.3">
      <c r="A11" s="8" t="s">
        <v>36</v>
      </c>
      <c r="B11" s="11">
        <v>46022</v>
      </c>
      <c r="C11" s="5"/>
      <c r="D11" s="6"/>
      <c r="E11" s="6"/>
      <c r="F11" s="6"/>
      <c r="G11" s="6"/>
      <c r="H11" s="7"/>
    </row>
    <row r="12" spans="1:8" ht="14.4" x14ac:dyDescent="0.3">
      <c r="A12" s="12"/>
      <c r="B12" s="5"/>
      <c r="C12" s="5"/>
      <c r="D12" s="6"/>
      <c r="E12" s="6"/>
      <c r="F12" s="6"/>
      <c r="G12" s="6"/>
      <c r="H12" s="7"/>
    </row>
    <row r="13" spans="1:8" ht="14.4" x14ac:dyDescent="0.3">
      <c r="A13" s="4" t="s">
        <v>37</v>
      </c>
      <c r="B13" s="13"/>
      <c r="C13" s="14"/>
      <c r="D13" s="15"/>
      <c r="E13" s="15"/>
      <c r="F13" s="15"/>
      <c r="G13" s="15"/>
      <c r="H13" s="7"/>
    </row>
    <row r="14" spans="1:8" ht="28.8" x14ac:dyDescent="0.3">
      <c r="A14" s="16" t="s">
        <v>27</v>
      </c>
      <c r="B14" s="11" t="s">
        <v>28</v>
      </c>
      <c r="C14" s="14"/>
      <c r="D14" s="15"/>
      <c r="E14" s="15"/>
      <c r="F14" s="15"/>
      <c r="G14" s="15"/>
      <c r="H14" s="7"/>
    </row>
    <row r="15" spans="1:8" ht="43.2" x14ac:dyDescent="0.3">
      <c r="A15" s="16" t="s">
        <v>38</v>
      </c>
      <c r="B15" s="11" t="s">
        <v>39</v>
      </c>
      <c r="C15" s="14"/>
      <c r="D15" s="15"/>
      <c r="E15" s="15"/>
      <c r="F15" s="15"/>
      <c r="G15" s="15"/>
      <c r="H15" s="7"/>
    </row>
    <row r="16" spans="1:8" ht="14.4" x14ac:dyDescent="0.3">
      <c r="A16" s="16" t="s">
        <v>40</v>
      </c>
      <c r="B16" t="s">
        <v>41</v>
      </c>
      <c r="C16" s="14"/>
      <c r="D16" s="15"/>
      <c r="E16" s="15"/>
      <c r="F16" s="15"/>
      <c r="G16" s="15"/>
      <c r="H16" s="7"/>
    </row>
    <row r="17" spans="1:8" ht="14.4" x14ac:dyDescent="0.3">
      <c r="A17" s="16" t="s">
        <v>31</v>
      </c>
      <c r="B17" s="17" t="s">
        <v>42</v>
      </c>
      <c r="C17" s="14"/>
      <c r="D17" s="15"/>
      <c r="E17" s="15"/>
      <c r="F17" s="15"/>
      <c r="G17" s="15"/>
      <c r="H17" s="7"/>
    </row>
    <row r="18" spans="1:8" ht="14.4" x14ac:dyDescent="0.3">
      <c r="A18" s="16" t="s">
        <v>29</v>
      </c>
      <c r="B18" s="17" t="s">
        <v>30</v>
      </c>
      <c r="C18" s="14"/>
      <c r="D18" s="15"/>
      <c r="E18" s="15"/>
      <c r="F18" s="15"/>
      <c r="G18" s="15"/>
      <c r="H18" s="7"/>
    </row>
    <row r="19" spans="1:8" ht="14.4" x14ac:dyDescent="0.3">
      <c r="A19" s="12"/>
      <c r="B19" s="5"/>
      <c r="C19" s="5"/>
      <c r="D19" s="6"/>
      <c r="E19" s="6"/>
      <c r="F19" s="6"/>
      <c r="G19" s="6"/>
      <c r="H19" s="7"/>
    </row>
    <row r="20" spans="1:8" ht="14.4" x14ac:dyDescent="0.3">
      <c r="A20" s="8" t="s">
        <v>43</v>
      </c>
      <c r="B20" s="9" t="s">
        <v>44</v>
      </c>
      <c r="C20" s="5"/>
      <c r="D20" s="6"/>
      <c r="E20" s="6"/>
      <c r="F20" s="6"/>
      <c r="G20" s="6"/>
      <c r="H20" s="7"/>
    </row>
    <row r="21" spans="1:8" ht="14.4" x14ac:dyDescent="0.3">
      <c r="A21" s="8" t="s">
        <v>45</v>
      </c>
      <c r="B21" s="5" t="s">
        <v>46</v>
      </c>
      <c r="C21" s="5"/>
      <c r="D21" s="6"/>
      <c r="E21" s="6"/>
      <c r="F21" s="6"/>
      <c r="G21" s="6"/>
      <c r="H21" s="7"/>
    </row>
    <row r="22" spans="1:8" ht="14.4" x14ac:dyDescent="0.3">
      <c r="A22" s="8" t="s">
        <v>47</v>
      </c>
      <c r="B22" s="5" t="s">
        <v>48</v>
      </c>
      <c r="C22" s="5"/>
      <c r="D22" s="6"/>
      <c r="E22" s="6"/>
      <c r="F22" s="6"/>
      <c r="G22" s="6"/>
      <c r="H22" s="7"/>
    </row>
    <row r="23" spans="1:8" ht="14.4" x14ac:dyDescent="0.3">
      <c r="A23" s="8" t="s">
        <v>49</v>
      </c>
      <c r="B23">
        <v>7</v>
      </c>
      <c r="C23" s="5"/>
      <c r="D23" s="6"/>
      <c r="E23" s="6"/>
      <c r="F23" s="6"/>
      <c r="G23" s="6"/>
      <c r="H23" s="7"/>
    </row>
    <row r="24" spans="1:8" ht="14.4" x14ac:dyDescent="0.3">
      <c r="A24" s="8" t="s">
        <v>50</v>
      </c>
      <c r="B24" s="18">
        <v>1</v>
      </c>
      <c r="C24" s="5"/>
      <c r="D24" s="6"/>
      <c r="E24" s="6"/>
      <c r="F24" s="6"/>
      <c r="G24" s="6"/>
      <c r="H24" s="7"/>
    </row>
    <row r="25" spans="1:8" ht="14.4" x14ac:dyDescent="0.3">
      <c r="A25" s="8" t="s">
        <v>51</v>
      </c>
      <c r="B25" s="18" t="s">
        <v>52</v>
      </c>
      <c r="C25" s="5"/>
      <c r="D25" s="6"/>
      <c r="E25" s="6"/>
      <c r="F25" s="6"/>
      <c r="G25" s="6"/>
      <c r="H25" s="7"/>
    </row>
    <row r="26" spans="1:8" ht="14.4" x14ac:dyDescent="0.3">
      <c r="A26" s="8" t="s">
        <v>53</v>
      </c>
      <c r="B26" s="19">
        <v>1400</v>
      </c>
      <c r="C26" s="5"/>
      <c r="D26" s="6"/>
      <c r="E26" s="6"/>
      <c r="F26" s="6"/>
      <c r="G26" s="6"/>
      <c r="H26" s="7"/>
    </row>
    <row r="27" spans="1:8" ht="14.4" x14ac:dyDescent="0.3">
      <c r="A27" s="8" t="s">
        <v>54</v>
      </c>
      <c r="B27" s="18">
        <v>850</v>
      </c>
      <c r="C27" s="130"/>
      <c r="D27" s="6"/>
      <c r="E27" s="6"/>
      <c r="F27" s="6"/>
      <c r="G27" s="6"/>
      <c r="H27" s="7"/>
    </row>
    <row r="28" spans="1:8" ht="14.4" x14ac:dyDescent="0.3">
      <c r="A28" s="20" t="s">
        <v>55</v>
      </c>
      <c r="B28" s="21">
        <f>B26/B27</f>
        <v>1.6470588235294117</v>
      </c>
      <c r="C28" s="5"/>
      <c r="D28" s="6"/>
      <c r="E28" s="6"/>
      <c r="F28" s="6"/>
      <c r="G28" s="6"/>
      <c r="H28" s="7"/>
    </row>
    <row r="29" spans="1:8" ht="14.4" x14ac:dyDescent="0.3">
      <c r="A29" s="22"/>
      <c r="B29" s="23"/>
      <c r="C29" s="24"/>
      <c r="D29" s="25"/>
      <c r="E29" s="25"/>
      <c r="F29" s="25"/>
      <c r="G29" s="25"/>
      <c r="H29" s="7"/>
    </row>
    <row r="30" spans="1:8" ht="28.8" x14ac:dyDescent="0.3">
      <c r="A30" s="26" t="s">
        <v>56</v>
      </c>
      <c r="B30" s="3" t="s">
        <v>57</v>
      </c>
      <c r="C30" t="s">
        <v>58</v>
      </c>
      <c r="D30" t="s">
        <v>59</v>
      </c>
      <c r="E30" s="3" t="s">
        <v>60</v>
      </c>
      <c r="F30" s="3" t="s">
        <v>61</v>
      </c>
      <c r="G30" s="3"/>
      <c r="H30" s="7"/>
    </row>
    <row r="31" spans="1:8" ht="14.4" x14ac:dyDescent="0.3">
      <c r="A31" s="27" t="s">
        <v>62</v>
      </c>
      <c r="B31" s="28" t="s">
        <v>63</v>
      </c>
      <c r="C31" s="28" t="s">
        <v>63</v>
      </c>
      <c r="D31" s="28" t="s">
        <v>64</v>
      </c>
      <c r="E31" s="28" t="s">
        <v>65</v>
      </c>
      <c r="F31" s="28" t="s">
        <v>63</v>
      </c>
      <c r="G31" s="28"/>
      <c r="H31" s="29" t="s">
        <v>66</v>
      </c>
    </row>
    <row r="32" spans="1:8" ht="14.4" x14ac:dyDescent="0.3">
      <c r="A32" s="27" t="s">
        <v>67</v>
      </c>
      <c r="B32" s="28" t="s">
        <v>68</v>
      </c>
      <c r="C32" s="28" t="s">
        <v>69</v>
      </c>
      <c r="D32" s="28" t="s">
        <v>70</v>
      </c>
      <c r="E32" s="28" t="s">
        <v>71</v>
      </c>
      <c r="F32" s="28" t="s">
        <v>72</v>
      </c>
      <c r="G32" s="28"/>
      <c r="H32" s="7"/>
    </row>
    <row r="33" spans="1:24" ht="14.4" x14ac:dyDescent="0.3">
      <c r="A33" s="27" t="s">
        <v>73</v>
      </c>
      <c r="B33" s="28" t="s">
        <v>74</v>
      </c>
      <c r="C33" s="28" t="s">
        <v>69</v>
      </c>
      <c r="D33" s="28" t="s">
        <v>75</v>
      </c>
      <c r="E33" s="28" t="s">
        <v>76</v>
      </c>
      <c r="F33" s="28" t="s">
        <v>77</v>
      </c>
      <c r="G33" s="28"/>
      <c r="H33" s="7"/>
    </row>
    <row r="34" spans="1:24" ht="14.4" x14ac:dyDescent="0.3">
      <c r="A34" s="27" t="s">
        <v>78</v>
      </c>
      <c r="B34" s="28" t="s">
        <v>79</v>
      </c>
      <c r="C34" s="28" t="s">
        <v>80</v>
      </c>
      <c r="D34" s="28" t="s">
        <v>81</v>
      </c>
      <c r="E34" s="28" t="s">
        <v>82</v>
      </c>
      <c r="F34" s="28" t="s">
        <v>83</v>
      </c>
      <c r="G34" s="28"/>
      <c r="H34" s="7"/>
      <c r="I34" s="30"/>
      <c r="J34" s="30"/>
      <c r="K34" s="30"/>
      <c r="L34" s="30"/>
      <c r="M34" s="30"/>
      <c r="N34" s="30"/>
      <c r="O34" s="30"/>
    </row>
    <row r="35" spans="1:24" ht="14.4" x14ac:dyDescent="0.3">
      <c r="A35" s="27" t="s">
        <v>84</v>
      </c>
      <c r="B35" s="125">
        <v>0.42859999999999998</v>
      </c>
      <c r="C35" s="125">
        <v>0.1633</v>
      </c>
      <c r="D35" s="126">
        <v>0.17349999999999999</v>
      </c>
      <c r="E35" s="126">
        <v>0.12239999999999999</v>
      </c>
      <c r="F35" s="126">
        <v>0.11219999999999999</v>
      </c>
      <c r="G35" s="126">
        <v>0</v>
      </c>
      <c r="H35" s="29" t="s">
        <v>85</v>
      </c>
      <c r="I35" s="32"/>
      <c r="J35" s="32"/>
      <c r="K35" s="32"/>
      <c r="L35" s="32"/>
      <c r="M35" s="32"/>
      <c r="N35" s="32"/>
      <c r="Q35" s="32"/>
    </row>
    <row r="36" spans="1:24" ht="28.8" x14ac:dyDescent="0.3">
      <c r="A36" s="27" t="s">
        <v>86</v>
      </c>
      <c r="B36" s="9">
        <f>B23*B35</f>
        <v>3.0002</v>
      </c>
      <c r="C36" s="9">
        <f>B23*C35</f>
        <v>1.1431</v>
      </c>
      <c r="D36" s="9">
        <f>B23*D35</f>
        <v>1.2144999999999999</v>
      </c>
      <c r="E36" s="9">
        <f>B23*E35</f>
        <v>0.85680000000000001</v>
      </c>
      <c r="F36" s="9">
        <f>B23*F35</f>
        <v>0.78539999999999999</v>
      </c>
      <c r="G36" s="9">
        <f>B23*G35</f>
        <v>0</v>
      </c>
      <c r="H36" s="29" t="s">
        <v>87</v>
      </c>
      <c r="I36" s="32"/>
      <c r="J36" s="32"/>
      <c r="K36" s="32"/>
      <c r="L36" s="32"/>
      <c r="M36" s="32"/>
      <c r="N36" s="32"/>
      <c r="Q36" s="32"/>
    </row>
    <row r="37" spans="1:24" ht="14.4" x14ac:dyDescent="0.3">
      <c r="A37" s="27" t="s">
        <v>88</v>
      </c>
      <c r="B37" s="9">
        <f t="shared" ref="B37:G37" si="0">B36+B188</f>
        <v>3.3335555555555554</v>
      </c>
      <c r="C37" s="9">
        <f t="shared" si="0"/>
        <v>1.2701111111111112</v>
      </c>
      <c r="D37" s="9">
        <f t="shared" si="0"/>
        <v>1.3494444444444444</v>
      </c>
      <c r="E37" s="9">
        <f t="shared" si="0"/>
        <v>0.95199999999999996</v>
      </c>
      <c r="F37" s="9">
        <f t="shared" si="0"/>
        <v>0.8726666666666667</v>
      </c>
      <c r="G37" s="9">
        <f t="shared" si="0"/>
        <v>0</v>
      </c>
      <c r="H37" s="29" t="s">
        <v>89</v>
      </c>
      <c r="I37" s="32"/>
      <c r="J37" s="32"/>
      <c r="K37" s="32"/>
      <c r="L37" s="32"/>
      <c r="M37" s="32"/>
      <c r="N37" s="32"/>
      <c r="Q37" s="32"/>
    </row>
    <row r="38" spans="1:24" ht="28.8" x14ac:dyDescent="0.3">
      <c r="A38" s="27" t="s">
        <v>90</v>
      </c>
      <c r="B38" s="125">
        <v>0.85</v>
      </c>
      <c r="C38" s="31">
        <v>0.62</v>
      </c>
      <c r="D38" s="31">
        <v>0</v>
      </c>
      <c r="E38" s="31">
        <v>0.84</v>
      </c>
      <c r="F38" s="31">
        <v>0.75</v>
      </c>
      <c r="G38" s="31">
        <v>0</v>
      </c>
      <c r="H38" s="29" t="s">
        <v>91</v>
      </c>
      <c r="I38" s="32"/>
      <c r="J38" s="32"/>
      <c r="K38" s="32"/>
      <c r="L38" s="32"/>
      <c r="M38" s="32"/>
      <c r="N38" s="32"/>
      <c r="Q38" s="32"/>
    </row>
    <row r="39" spans="1:24" ht="28.8" x14ac:dyDescent="0.3">
      <c r="A39" s="27" t="s">
        <v>92</v>
      </c>
      <c r="B39" s="10">
        <f t="shared" ref="B39:G39" si="1">B37*B38</f>
        <v>2.8335222222222218</v>
      </c>
      <c r="C39" s="10">
        <f t="shared" si="1"/>
        <v>0.78746888888888888</v>
      </c>
      <c r="D39" s="10">
        <f t="shared" si="1"/>
        <v>0</v>
      </c>
      <c r="E39" s="10">
        <f t="shared" si="1"/>
        <v>0.79967999999999995</v>
      </c>
      <c r="F39" s="10">
        <f t="shared" si="1"/>
        <v>0.65450000000000008</v>
      </c>
      <c r="G39" s="10">
        <f t="shared" si="1"/>
        <v>0</v>
      </c>
      <c r="H39" s="29" t="s">
        <v>93</v>
      </c>
      <c r="I39" s="32"/>
      <c r="J39" s="32"/>
      <c r="K39" s="32"/>
      <c r="L39" s="32"/>
      <c r="M39" s="32"/>
      <c r="N39" s="32"/>
      <c r="R39" s="30"/>
      <c r="S39" s="30"/>
      <c r="T39" s="30"/>
      <c r="U39" s="30"/>
      <c r="V39" s="30"/>
      <c r="W39" s="30"/>
      <c r="X39" s="30"/>
    </row>
    <row r="40" spans="1:24" ht="14.4" x14ac:dyDescent="0.3">
      <c r="A40" s="27" t="s">
        <v>94</v>
      </c>
      <c r="B40" s="147">
        <f>SUM(B39:H39)</f>
        <v>5.0751711111111106</v>
      </c>
      <c r="C40" s="147"/>
      <c r="D40" s="147"/>
      <c r="E40" s="10"/>
      <c r="F40" s="10"/>
      <c r="G40" s="10"/>
      <c r="H40" s="29" t="s">
        <v>95</v>
      </c>
      <c r="I40" s="32"/>
      <c r="J40" s="32"/>
      <c r="K40" s="32"/>
      <c r="L40" s="32"/>
      <c r="M40" s="32"/>
      <c r="N40" s="32"/>
      <c r="R40" s="30"/>
      <c r="S40" s="30"/>
      <c r="T40" s="30"/>
      <c r="U40" s="30"/>
      <c r="V40" s="30"/>
      <c r="W40" s="30"/>
      <c r="X40" s="30"/>
    </row>
    <row r="41" spans="1:24" ht="28.8" x14ac:dyDescent="0.3">
      <c r="A41" s="27" t="s">
        <v>96</v>
      </c>
      <c r="B41" s="31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29" t="s">
        <v>97</v>
      </c>
      <c r="I41" s="32"/>
      <c r="J41" s="32"/>
      <c r="K41" s="32"/>
      <c r="L41" s="32"/>
      <c r="M41" s="32"/>
      <c r="N41" s="32"/>
      <c r="R41" s="32"/>
      <c r="S41" s="32"/>
      <c r="T41" s="32"/>
      <c r="U41" s="32"/>
      <c r="V41" s="32"/>
      <c r="W41" s="32"/>
    </row>
    <row r="42" spans="1:24" ht="28.8" x14ac:dyDescent="0.3">
      <c r="A42" s="27" t="s">
        <v>98</v>
      </c>
      <c r="B42" s="10">
        <f t="shared" ref="B42:G42" si="2">B37*B41</f>
        <v>0</v>
      </c>
      <c r="C42" s="10">
        <f t="shared" si="2"/>
        <v>0</v>
      </c>
      <c r="D42" s="10">
        <f t="shared" si="2"/>
        <v>0</v>
      </c>
      <c r="E42" s="10">
        <f t="shared" si="2"/>
        <v>0</v>
      </c>
      <c r="F42" s="10">
        <f t="shared" si="2"/>
        <v>0</v>
      </c>
      <c r="G42" s="10">
        <f t="shared" si="2"/>
        <v>0</v>
      </c>
      <c r="H42" s="29" t="s">
        <v>99</v>
      </c>
      <c r="I42" s="32"/>
      <c r="J42" s="32"/>
      <c r="K42" s="32"/>
      <c r="L42" s="32"/>
      <c r="M42" s="32"/>
      <c r="N42" s="32"/>
      <c r="R42" s="32"/>
      <c r="S42" s="32"/>
      <c r="T42" s="32"/>
      <c r="U42" s="32"/>
      <c r="V42" s="32"/>
      <c r="W42" s="32"/>
    </row>
    <row r="43" spans="1:24" ht="28.8" x14ac:dyDescent="0.3">
      <c r="A43" s="27" t="s">
        <v>100</v>
      </c>
      <c r="B43" s="10">
        <f t="shared" ref="B43:G43" si="3">B42/100</f>
        <v>0</v>
      </c>
      <c r="C43" s="10">
        <f t="shared" si="3"/>
        <v>0</v>
      </c>
      <c r="D43" s="10">
        <f t="shared" si="3"/>
        <v>0</v>
      </c>
      <c r="E43" s="10">
        <f t="shared" si="3"/>
        <v>0</v>
      </c>
      <c r="F43" s="10">
        <f t="shared" si="3"/>
        <v>0</v>
      </c>
      <c r="G43" s="10">
        <f t="shared" si="3"/>
        <v>0</v>
      </c>
      <c r="H43" s="29" t="s">
        <v>101</v>
      </c>
      <c r="I43" s="32"/>
      <c r="J43" s="32"/>
      <c r="K43" s="32"/>
      <c r="L43" s="32"/>
      <c r="M43" s="32"/>
      <c r="N43" s="32"/>
      <c r="R43" s="32"/>
      <c r="S43" s="32"/>
      <c r="T43" s="32"/>
      <c r="U43" s="32"/>
      <c r="V43" s="32"/>
      <c r="W43" s="32"/>
    </row>
    <row r="44" spans="1:24" ht="28.8" x14ac:dyDescent="0.3">
      <c r="A44" s="27" t="s">
        <v>102</v>
      </c>
      <c r="B44" s="147">
        <f>(B36*B38*B43)+(C36*C38*C43)+(D36*D38*D43)</f>
        <v>0</v>
      </c>
      <c r="C44" s="147"/>
      <c r="D44" s="147"/>
      <c r="E44" s="10"/>
      <c r="F44" s="10"/>
      <c r="G44" s="10"/>
      <c r="H44" s="29" t="s">
        <v>103</v>
      </c>
      <c r="I44" s="32"/>
      <c r="J44" s="32"/>
      <c r="K44" s="32"/>
      <c r="L44" s="32"/>
      <c r="M44" s="32"/>
      <c r="N44" s="32"/>
      <c r="R44" s="32"/>
      <c r="S44" s="32"/>
      <c r="T44" s="32"/>
      <c r="U44" s="32"/>
      <c r="V44" s="32"/>
      <c r="W44" s="32"/>
    </row>
    <row r="45" spans="1:24" ht="28.8" x14ac:dyDescent="0.3">
      <c r="A45" s="27" t="s">
        <v>104</v>
      </c>
      <c r="B45" s="31">
        <v>0.25</v>
      </c>
      <c r="C45" s="31">
        <v>0.35</v>
      </c>
      <c r="D45" s="31">
        <v>0</v>
      </c>
      <c r="E45" s="31">
        <v>0</v>
      </c>
      <c r="F45" s="31">
        <v>0.1</v>
      </c>
      <c r="G45" s="31">
        <v>0</v>
      </c>
      <c r="H45" s="29" t="s">
        <v>105</v>
      </c>
      <c r="I45" s="32"/>
      <c r="J45" s="32"/>
      <c r="K45" s="32"/>
      <c r="L45" s="32"/>
      <c r="M45" s="32"/>
      <c r="N45" s="32"/>
      <c r="R45" s="32"/>
      <c r="S45" s="32"/>
      <c r="T45" s="32"/>
      <c r="U45" s="32"/>
      <c r="V45" s="32"/>
      <c r="W45" s="32"/>
    </row>
    <row r="46" spans="1:24" ht="28.8" x14ac:dyDescent="0.3">
      <c r="A46" s="27" t="s">
        <v>106</v>
      </c>
      <c r="B46" s="10">
        <f t="shared" ref="B46:G46" si="4">B37*B45</f>
        <v>0.83338888888888885</v>
      </c>
      <c r="C46" s="10">
        <f t="shared" si="4"/>
        <v>0.44453888888888887</v>
      </c>
      <c r="D46" s="10">
        <f t="shared" si="4"/>
        <v>0</v>
      </c>
      <c r="E46" s="10">
        <f t="shared" si="4"/>
        <v>0</v>
      </c>
      <c r="F46" s="10">
        <f t="shared" si="4"/>
        <v>8.7266666666666673E-2</v>
      </c>
      <c r="G46" s="10">
        <f t="shared" si="4"/>
        <v>0</v>
      </c>
      <c r="H46" s="29" t="s">
        <v>107</v>
      </c>
      <c r="I46" s="32"/>
      <c r="J46" s="32"/>
      <c r="K46" s="32"/>
      <c r="L46" s="32"/>
      <c r="M46" s="32"/>
      <c r="N46" s="32"/>
    </row>
    <row r="47" spans="1:24" ht="28.8" x14ac:dyDescent="0.3">
      <c r="A47" s="27" t="s">
        <v>108</v>
      </c>
      <c r="B47" s="147">
        <f>SUM(B46:BF46)</f>
        <v>1.3651944444444444</v>
      </c>
      <c r="C47" s="147"/>
      <c r="D47" s="147"/>
      <c r="E47" s="10"/>
      <c r="F47" s="10"/>
      <c r="G47" s="10"/>
      <c r="H47" s="29" t="s">
        <v>109</v>
      </c>
      <c r="I47" s="32"/>
      <c r="J47" s="32"/>
      <c r="K47" s="32"/>
      <c r="L47" s="32"/>
      <c r="M47" s="32"/>
      <c r="N47" s="32"/>
    </row>
    <row r="48" spans="1:24" ht="28.8" x14ac:dyDescent="0.3">
      <c r="A48" s="27" t="s">
        <v>110</v>
      </c>
      <c r="B48" s="147">
        <f>B40-B47-B44</f>
        <v>3.709976666666666</v>
      </c>
      <c r="C48" s="147"/>
      <c r="D48" s="147"/>
      <c r="E48" s="10"/>
      <c r="F48" s="10"/>
      <c r="G48" s="10"/>
      <c r="H48" s="29" t="s">
        <v>111</v>
      </c>
      <c r="I48" s="32"/>
      <c r="J48" s="32"/>
      <c r="K48" s="32"/>
      <c r="L48" s="32"/>
      <c r="M48" s="32"/>
      <c r="N48" s="32"/>
    </row>
    <row r="49" spans="1:14" ht="28.8" x14ac:dyDescent="0.3">
      <c r="A49" s="27" t="s">
        <v>112</v>
      </c>
      <c r="B49" s="28">
        <v>2.1040779999999999</v>
      </c>
      <c r="C49" s="28">
        <v>4.3549220000000002</v>
      </c>
      <c r="D49" s="28">
        <v>0.296456</v>
      </c>
      <c r="E49" s="28">
        <v>2.5186000000000002</v>
      </c>
      <c r="F49" s="28">
        <v>4.1975470000000001</v>
      </c>
      <c r="G49" s="28">
        <v>0.56954400000000005</v>
      </c>
      <c r="H49" s="29" t="s">
        <v>113</v>
      </c>
      <c r="I49" s="32"/>
      <c r="J49" s="32"/>
      <c r="K49" s="32"/>
      <c r="L49" s="32"/>
      <c r="M49" s="32"/>
      <c r="N49" s="32"/>
    </row>
    <row r="50" spans="1:14" ht="28.8" x14ac:dyDescent="0.3">
      <c r="A50" s="27" t="s">
        <v>114</v>
      </c>
      <c r="B50" s="28">
        <f t="shared" ref="B50:G50" si="5">B37*B49</f>
        <v>7.0140609062222214</v>
      </c>
      <c r="C50" s="28">
        <f t="shared" si="5"/>
        <v>5.531234820222223</v>
      </c>
      <c r="D50" s="28">
        <f t="shared" si="5"/>
        <v>0.40005090222222223</v>
      </c>
      <c r="E50" s="28">
        <f t="shared" si="5"/>
        <v>2.3977072000000001</v>
      </c>
      <c r="F50" s="28">
        <f t="shared" si="5"/>
        <v>3.6630593486666667</v>
      </c>
      <c r="G50" s="28">
        <f t="shared" si="5"/>
        <v>0</v>
      </c>
      <c r="H50" s="29" t="s">
        <v>115</v>
      </c>
      <c r="I50" s="32"/>
      <c r="J50" s="32"/>
      <c r="K50" s="32"/>
      <c r="L50" s="32"/>
      <c r="M50" s="32"/>
      <c r="N50" s="32"/>
    </row>
    <row r="51" spans="1:14" ht="14.4" x14ac:dyDescent="0.3">
      <c r="A51" s="127" t="s">
        <v>116</v>
      </c>
      <c r="B51" s="145">
        <f>SUM(B50:G50)</f>
        <v>19.006113177333333</v>
      </c>
      <c r="C51" s="145"/>
      <c r="D51" s="145"/>
      <c r="E51" s="57"/>
      <c r="F51" s="57"/>
      <c r="G51" s="57"/>
      <c r="H51" s="29" t="s">
        <v>117</v>
      </c>
      <c r="I51" s="32"/>
      <c r="J51" s="32"/>
      <c r="K51" s="32"/>
      <c r="L51" s="32"/>
      <c r="M51" s="32"/>
      <c r="N51" s="32"/>
    </row>
    <row r="52" spans="1:14" ht="14.4" x14ac:dyDescent="0.3">
      <c r="A52" s="32"/>
      <c r="B52" s="36"/>
      <c r="C52" s="36"/>
      <c r="D52" s="36"/>
      <c r="E52" s="36"/>
      <c r="F52" s="36"/>
      <c r="G52" s="36"/>
      <c r="H52" s="34"/>
      <c r="I52" s="32"/>
      <c r="J52" s="32"/>
      <c r="K52" s="32"/>
      <c r="L52" s="32"/>
      <c r="M52" s="32"/>
      <c r="N52" s="32"/>
    </row>
    <row r="53" spans="1:14" ht="28.8" x14ac:dyDescent="0.3">
      <c r="A53" s="128" t="s">
        <v>118</v>
      </c>
      <c r="B53" s="7" t="s">
        <v>119</v>
      </c>
      <c r="C53" s="37" t="s">
        <v>120</v>
      </c>
      <c r="D53" s="37" t="s">
        <v>121</v>
      </c>
      <c r="E53" s="7" t="s">
        <v>122</v>
      </c>
      <c r="F53" s="7" t="s">
        <v>123</v>
      </c>
      <c r="G53" s="7"/>
      <c r="H53" s="36"/>
      <c r="I53" s="32"/>
      <c r="J53" s="32"/>
      <c r="K53" s="32"/>
      <c r="L53" s="32"/>
      <c r="M53" s="32"/>
      <c r="N53" s="32"/>
    </row>
    <row r="54" spans="1:14" ht="28.8" x14ac:dyDescent="0.3">
      <c r="A54" s="8" t="s">
        <v>62</v>
      </c>
      <c r="B54" s="28" t="s">
        <v>124</v>
      </c>
      <c r="C54" s="28" t="s">
        <v>124</v>
      </c>
      <c r="D54" s="28" t="s">
        <v>124</v>
      </c>
      <c r="E54" s="28" t="s">
        <v>124</v>
      </c>
      <c r="F54" s="28" t="s">
        <v>124</v>
      </c>
      <c r="G54" s="28"/>
      <c r="H54" s="29" t="s">
        <v>125</v>
      </c>
      <c r="I54" s="32"/>
      <c r="J54" s="32"/>
      <c r="K54" s="32"/>
      <c r="L54" s="32"/>
      <c r="M54" s="32"/>
      <c r="N54" s="32"/>
    </row>
    <row r="55" spans="1:14" ht="14.4" x14ac:dyDescent="0.3">
      <c r="A55" s="8" t="s">
        <v>67</v>
      </c>
      <c r="B55" s="28" t="s">
        <v>126</v>
      </c>
      <c r="C55" s="28" t="s">
        <v>127</v>
      </c>
      <c r="D55" s="28" t="s">
        <v>126</v>
      </c>
      <c r="E55" s="28" t="s">
        <v>128</v>
      </c>
      <c r="F55" s="28" t="s">
        <v>129</v>
      </c>
      <c r="G55" s="28"/>
      <c r="H55" s="36"/>
      <c r="I55" s="32"/>
      <c r="J55" s="32"/>
      <c r="K55" s="32"/>
      <c r="L55" s="32"/>
      <c r="M55" s="32"/>
      <c r="N55" s="32"/>
    </row>
    <row r="56" spans="1:14" ht="14.4" x14ac:dyDescent="0.3">
      <c r="A56" s="8" t="s">
        <v>73</v>
      </c>
      <c r="B56" s="28" t="s">
        <v>130</v>
      </c>
      <c r="C56" s="28" t="s">
        <v>131</v>
      </c>
      <c r="D56" s="28" t="s">
        <v>130</v>
      </c>
      <c r="E56" s="28" t="s">
        <v>132</v>
      </c>
      <c r="F56" s="28" t="s">
        <v>133</v>
      </c>
      <c r="G56" s="28"/>
      <c r="H56" s="36"/>
      <c r="I56" s="32"/>
      <c r="J56" s="32"/>
      <c r="K56" s="32"/>
      <c r="L56" s="32"/>
      <c r="M56" s="32"/>
      <c r="N56" s="32"/>
    </row>
    <row r="57" spans="1:14" ht="14.4" x14ac:dyDescent="0.3">
      <c r="A57" s="8" t="s">
        <v>78</v>
      </c>
      <c r="B57" s="28" t="s">
        <v>134</v>
      </c>
      <c r="C57" s="28" t="s">
        <v>135</v>
      </c>
      <c r="D57" s="28" t="s">
        <v>134</v>
      </c>
      <c r="E57" s="28" t="s">
        <v>136</v>
      </c>
      <c r="F57" s="28" t="s">
        <v>137</v>
      </c>
      <c r="G57" s="28"/>
      <c r="H57" s="36"/>
      <c r="I57" s="32"/>
      <c r="J57" s="32"/>
      <c r="K57" s="32"/>
      <c r="L57" s="32"/>
      <c r="M57" s="32"/>
      <c r="N57" s="32"/>
    </row>
    <row r="58" spans="1:14" ht="54.6" customHeight="1" x14ac:dyDescent="0.3">
      <c r="A58" s="8" t="s">
        <v>138</v>
      </c>
      <c r="B58" s="37" t="s">
        <v>383</v>
      </c>
      <c r="C58" s="87" t="s">
        <v>385</v>
      </c>
      <c r="D58" s="37" t="s">
        <v>386</v>
      </c>
      <c r="E58" s="37" t="s">
        <v>387</v>
      </c>
      <c r="F58" s="37" t="s">
        <v>387</v>
      </c>
      <c r="G58" s="37"/>
      <c r="H58" s="36"/>
      <c r="I58" s="32"/>
      <c r="J58" s="32"/>
      <c r="K58" s="32"/>
      <c r="L58" s="32"/>
      <c r="M58" s="32"/>
      <c r="N58" s="32"/>
    </row>
    <row r="59" spans="1:14" ht="43.2" x14ac:dyDescent="0.3">
      <c r="A59" s="8" t="s">
        <v>139</v>
      </c>
      <c r="B59" s="37" t="s">
        <v>384</v>
      </c>
      <c r="C59" s="37" t="s">
        <v>384</v>
      </c>
      <c r="D59" s="37" t="s">
        <v>384</v>
      </c>
      <c r="E59" s="37" t="s">
        <v>384</v>
      </c>
      <c r="F59" s="37" t="s">
        <v>384</v>
      </c>
      <c r="G59" s="37"/>
      <c r="H59" s="36"/>
      <c r="I59" s="32"/>
      <c r="J59" s="32"/>
      <c r="K59" s="32"/>
      <c r="L59" s="32"/>
      <c r="M59" s="32"/>
      <c r="N59" s="32"/>
    </row>
    <row r="60" spans="1:14" ht="14.4" x14ac:dyDescent="0.3">
      <c r="A60" s="8" t="s">
        <v>140</v>
      </c>
      <c r="B60" s="7">
        <v>4.42</v>
      </c>
      <c r="C60" s="7">
        <v>1.73</v>
      </c>
      <c r="D60" s="7">
        <v>1.75</v>
      </c>
      <c r="E60" s="7">
        <v>1.25</v>
      </c>
      <c r="F60" s="7">
        <v>0.84</v>
      </c>
      <c r="G60" s="7">
        <v>0</v>
      </c>
      <c r="H60" s="36"/>
      <c r="I60" s="32"/>
      <c r="J60" s="32"/>
      <c r="K60" s="32"/>
      <c r="L60" s="32"/>
      <c r="M60" s="32"/>
      <c r="N60" s="32"/>
    </row>
    <row r="61" spans="1:14" ht="14.4" x14ac:dyDescent="0.3">
      <c r="A61" s="8" t="s">
        <v>141</v>
      </c>
      <c r="B61" s="36">
        <f>B60/B101</f>
        <v>8.8400000000000006E-3</v>
      </c>
      <c r="C61" s="36">
        <f>C60/B101</f>
        <v>3.46E-3</v>
      </c>
      <c r="D61" s="36">
        <f>D60/B101</f>
        <v>3.5000000000000001E-3</v>
      </c>
      <c r="E61" s="36">
        <f>E60/B101</f>
        <v>2.5000000000000001E-3</v>
      </c>
      <c r="F61" s="36">
        <f>F60/B101</f>
        <v>1.6799999999999999E-3</v>
      </c>
      <c r="G61" s="36">
        <f>G60/B101</f>
        <v>0</v>
      </c>
      <c r="H61" s="36"/>
      <c r="I61" s="32"/>
      <c r="J61" s="32"/>
      <c r="K61" s="32"/>
      <c r="L61" s="32"/>
      <c r="M61" s="32"/>
      <c r="N61" s="32"/>
    </row>
    <row r="62" spans="1:14" ht="14.4" x14ac:dyDescent="0.3">
      <c r="A62" s="8" t="s">
        <v>142</v>
      </c>
      <c r="B62" s="36">
        <v>417</v>
      </c>
      <c r="C62" s="36">
        <v>1108</v>
      </c>
      <c r="D62" s="36">
        <v>1640</v>
      </c>
      <c r="E62" s="36">
        <v>616</v>
      </c>
      <c r="F62" s="36">
        <v>616</v>
      </c>
      <c r="G62" s="36">
        <v>0</v>
      </c>
      <c r="H62" s="36"/>
      <c r="I62" s="32"/>
      <c r="J62" s="32"/>
      <c r="K62" s="32"/>
      <c r="L62" s="32"/>
      <c r="M62" s="32"/>
      <c r="N62" s="32"/>
    </row>
    <row r="63" spans="1:14" ht="28.8" x14ac:dyDescent="0.3">
      <c r="A63" s="8" t="s">
        <v>143</v>
      </c>
      <c r="B63" s="36">
        <v>0.237619</v>
      </c>
      <c r="C63" s="36">
        <v>1.246661</v>
      </c>
      <c r="D63" s="36">
        <v>0.237619</v>
      </c>
      <c r="E63" s="36">
        <v>0.13305700000000001</v>
      </c>
      <c r="F63" s="36">
        <v>0.25224600000000003</v>
      </c>
      <c r="G63" s="36">
        <v>0</v>
      </c>
      <c r="H63" s="29" t="s">
        <v>113</v>
      </c>
      <c r="I63" s="32"/>
      <c r="J63" s="32"/>
      <c r="K63" s="32"/>
      <c r="L63" s="32"/>
      <c r="M63" s="32"/>
      <c r="N63" s="32"/>
    </row>
    <row r="64" spans="1:14" ht="14.4" x14ac:dyDescent="0.3">
      <c r="A64" s="8" t="s">
        <v>144</v>
      </c>
      <c r="B64" s="36">
        <f t="shared" ref="B64:G64" si="6">B61*B62*B63</f>
        <v>0.87593016732000006</v>
      </c>
      <c r="C64" s="36">
        <f t="shared" si="6"/>
        <v>4.7792993424799999</v>
      </c>
      <c r="D64" s="36">
        <f t="shared" si="6"/>
        <v>1.3639330600000001</v>
      </c>
      <c r="E64" s="36">
        <f t="shared" si="6"/>
        <v>0.20490778000000001</v>
      </c>
      <c r="F64" s="36">
        <f t="shared" si="6"/>
        <v>0.26104434047999997</v>
      </c>
      <c r="G64" s="36">
        <f t="shared" si="6"/>
        <v>0</v>
      </c>
      <c r="H64" s="36"/>
      <c r="I64" s="32"/>
      <c r="J64" s="32"/>
      <c r="K64" s="32"/>
      <c r="L64" s="32"/>
      <c r="M64" s="32"/>
      <c r="N64" s="32"/>
    </row>
    <row r="65" spans="1:14" ht="14.4" x14ac:dyDescent="0.3">
      <c r="A65" s="38" t="s">
        <v>145</v>
      </c>
      <c r="B65" s="39">
        <f>SUM(B64:G64)</f>
        <v>7.4851146902799996</v>
      </c>
      <c r="C65" s="36"/>
      <c r="D65" s="36"/>
      <c r="E65" s="36"/>
      <c r="F65" s="36"/>
      <c r="G65" s="36"/>
      <c r="H65" s="29" t="s">
        <v>146</v>
      </c>
      <c r="I65" s="32"/>
      <c r="J65" s="32"/>
      <c r="K65" s="32"/>
      <c r="L65" s="32"/>
      <c r="M65" s="32"/>
      <c r="N65" s="32"/>
    </row>
    <row r="66" spans="1:14" ht="14.4" x14ac:dyDescent="0.3">
      <c r="A66" s="32"/>
      <c r="B66" s="32"/>
      <c r="C66" s="32"/>
      <c r="D66" s="32"/>
      <c r="E66" s="32"/>
      <c r="F66" s="32"/>
      <c r="G66" s="32"/>
      <c r="H66" s="40"/>
      <c r="I66" s="32"/>
      <c r="J66" s="32"/>
      <c r="K66" s="32"/>
      <c r="L66" s="32"/>
      <c r="M66" s="32"/>
      <c r="N66" s="32"/>
    </row>
    <row r="67" spans="1:14" ht="14.4" x14ac:dyDescent="0.3">
      <c r="A67" s="35" t="s">
        <v>147</v>
      </c>
      <c r="B67" s="41" t="s">
        <v>147</v>
      </c>
      <c r="C67" s="41"/>
      <c r="D67" s="42"/>
      <c r="E67" s="42"/>
      <c r="F67" s="42"/>
      <c r="G67" s="42"/>
      <c r="H67" s="36"/>
      <c r="I67" s="32"/>
      <c r="J67" s="32"/>
      <c r="K67" s="32"/>
      <c r="L67" s="32"/>
      <c r="M67" s="32"/>
      <c r="N67" s="32"/>
    </row>
    <row r="68" spans="1:14" thickBot="1" x14ac:dyDescent="0.35">
      <c r="A68" s="8" t="s">
        <v>62</v>
      </c>
      <c r="B68" s="28" t="s">
        <v>148</v>
      </c>
      <c r="C68" s="28"/>
      <c r="D68" s="42"/>
      <c r="E68" s="42"/>
      <c r="F68" s="42"/>
      <c r="G68" s="42"/>
      <c r="H68" s="29" t="s">
        <v>149</v>
      </c>
      <c r="I68" s="32"/>
      <c r="J68" s="32"/>
      <c r="K68" s="32"/>
      <c r="L68" s="32"/>
      <c r="M68" s="32"/>
      <c r="N68" s="32"/>
    </row>
    <row r="69" spans="1:14" ht="14.4" x14ac:dyDescent="0.3">
      <c r="A69" s="8" t="s">
        <v>67</v>
      </c>
      <c r="B69" s="28" t="s">
        <v>150</v>
      </c>
      <c r="C69" s="28"/>
      <c r="D69" s="42"/>
      <c r="E69" s="42"/>
      <c r="F69" s="42"/>
      <c r="G69" s="42"/>
      <c r="H69" s="36"/>
      <c r="I69" s="32"/>
      <c r="J69" s="32"/>
      <c r="K69" s="32"/>
      <c r="L69" s="32"/>
      <c r="M69" s="43" t="s">
        <v>151</v>
      </c>
      <c r="N69" s="44">
        <f>B51</f>
        <v>19.006113177333333</v>
      </c>
    </row>
    <row r="70" spans="1:14" s="47" customFormat="1" ht="14.4" x14ac:dyDescent="0.3">
      <c r="A70" s="8" t="s">
        <v>73</v>
      </c>
      <c r="B70" s="28" t="s">
        <v>152</v>
      </c>
      <c r="C70" s="28"/>
      <c r="D70" s="42"/>
      <c r="E70" s="42"/>
      <c r="F70" s="42"/>
      <c r="G70" s="42"/>
      <c r="H70" s="36"/>
      <c r="I70" s="32"/>
      <c r="J70" s="32"/>
      <c r="K70" s="32"/>
      <c r="L70" s="32"/>
      <c r="M70" s="45" t="s">
        <v>153</v>
      </c>
      <c r="N70" s="46">
        <f>B107+B121+B134+B143+B156</f>
        <v>11.36365548888889</v>
      </c>
    </row>
    <row r="71" spans="1:14" ht="14.4" x14ac:dyDescent="0.3">
      <c r="A71" s="8" t="s">
        <v>78</v>
      </c>
      <c r="B71" s="28" t="s">
        <v>154</v>
      </c>
      <c r="C71" s="28"/>
      <c r="D71" s="6"/>
      <c r="E71" s="6"/>
      <c r="F71" s="6"/>
      <c r="G71" s="6"/>
      <c r="H71" s="7"/>
      <c r="M71" s="48" t="s">
        <v>155</v>
      </c>
      <c r="N71" s="49">
        <f>B238</f>
        <v>4.1203199999999994E-3</v>
      </c>
    </row>
    <row r="72" spans="1:14" ht="14.4" x14ac:dyDescent="0.3">
      <c r="A72" s="8" t="s">
        <v>49</v>
      </c>
      <c r="B72" s="50">
        <v>1.2</v>
      </c>
      <c r="C72" s="51"/>
      <c r="D72" s="52"/>
      <c r="E72" s="52"/>
      <c r="F72" s="52"/>
      <c r="G72" s="52"/>
      <c r="H72" s="29" t="s">
        <v>156</v>
      </c>
      <c r="M72" s="48" t="s">
        <v>157</v>
      </c>
      <c r="N72" s="53">
        <f>B75</f>
        <v>1.1045064</v>
      </c>
    </row>
    <row r="73" spans="1:14" ht="29.4" thickBot="1" x14ac:dyDescent="0.35">
      <c r="A73" s="8" t="s">
        <v>158</v>
      </c>
      <c r="B73" s="50">
        <v>0.92042199999999996</v>
      </c>
      <c r="C73" s="54"/>
      <c r="D73" s="6"/>
      <c r="E73" s="6"/>
      <c r="F73" s="6"/>
      <c r="G73" s="6"/>
      <c r="H73" s="29" t="s">
        <v>113</v>
      </c>
      <c r="M73" s="55" t="s">
        <v>159</v>
      </c>
      <c r="N73" s="56">
        <f>SUM(N69:N72)</f>
        <v>31.478395386222218</v>
      </c>
    </row>
    <row r="74" spans="1:14" ht="43.2" x14ac:dyDescent="0.3">
      <c r="A74" s="8" t="s">
        <v>160</v>
      </c>
      <c r="B74" s="2">
        <f>B72*B73</f>
        <v>1.1045064</v>
      </c>
      <c r="C74" s="10"/>
      <c r="D74" s="6"/>
      <c r="E74" s="6"/>
      <c r="F74" s="6"/>
      <c r="G74" s="6"/>
      <c r="H74" s="29" t="s">
        <v>161</v>
      </c>
    </row>
    <row r="75" spans="1:14" ht="14.4" x14ac:dyDescent="0.3">
      <c r="A75" s="20" t="s">
        <v>162</v>
      </c>
      <c r="B75" s="145">
        <f>SUM(B74:C74)</f>
        <v>1.1045064</v>
      </c>
      <c r="C75" s="145"/>
      <c r="D75" s="146"/>
      <c r="E75" s="58"/>
      <c r="F75" s="58"/>
      <c r="G75" s="58"/>
      <c r="H75" s="29" t="s">
        <v>163</v>
      </c>
    </row>
    <row r="76" spans="1:14" ht="14.4" x14ac:dyDescent="0.3">
      <c r="A76" s="8"/>
      <c r="B76" s="10"/>
      <c r="C76" s="10"/>
      <c r="D76" s="6"/>
      <c r="E76" s="6"/>
      <c r="F76" s="6"/>
      <c r="G76" s="6"/>
      <c r="H76" s="7"/>
    </row>
    <row r="77" spans="1:14" ht="14.4" x14ac:dyDescent="0.3">
      <c r="A77" s="35" t="s">
        <v>164</v>
      </c>
      <c r="B77" s="10"/>
      <c r="C77" s="10"/>
      <c r="D77" s="6"/>
      <c r="E77" s="6"/>
      <c r="F77" s="6"/>
      <c r="G77" s="6"/>
      <c r="H77" s="7"/>
    </row>
    <row r="78" spans="1:14" ht="14.4" x14ac:dyDescent="0.3">
      <c r="A78" s="8" t="s">
        <v>62</v>
      </c>
      <c r="B78" s="28" t="s">
        <v>124</v>
      </c>
      <c r="C78" s="28" t="s">
        <v>124</v>
      </c>
      <c r="D78" s="28" t="s">
        <v>124</v>
      </c>
      <c r="E78" s="28"/>
      <c r="F78" s="28"/>
      <c r="G78" s="28"/>
      <c r="H78" s="29" t="s">
        <v>165</v>
      </c>
    </row>
    <row r="79" spans="1:14" ht="45" customHeight="1" x14ac:dyDescent="0.3">
      <c r="A79" s="8" t="s">
        <v>67</v>
      </c>
      <c r="B79" s="28" t="s">
        <v>128</v>
      </c>
      <c r="C79" s="28" t="s">
        <v>166</v>
      </c>
      <c r="D79" s="28" t="s">
        <v>126</v>
      </c>
      <c r="E79" s="28"/>
      <c r="F79" s="28"/>
      <c r="G79" s="28"/>
      <c r="H79" s="29" t="s">
        <v>167</v>
      </c>
    </row>
    <row r="80" spans="1:14" ht="14.4" x14ac:dyDescent="0.3">
      <c r="A80" s="8" t="s">
        <v>73</v>
      </c>
      <c r="B80" s="28" t="s">
        <v>132</v>
      </c>
      <c r="C80" s="28" t="s">
        <v>168</v>
      </c>
      <c r="D80" s="28" t="s">
        <v>169</v>
      </c>
      <c r="E80" s="28"/>
      <c r="F80" s="28"/>
      <c r="G80" s="28"/>
      <c r="H80" s="7"/>
    </row>
    <row r="81" spans="1:8" ht="14.4" x14ac:dyDescent="0.3">
      <c r="A81" s="8" t="s">
        <v>78</v>
      </c>
      <c r="B81" s="28" t="s">
        <v>170</v>
      </c>
      <c r="C81" s="28" t="s">
        <v>171</v>
      </c>
      <c r="D81" s="28" t="s">
        <v>134</v>
      </c>
      <c r="E81" s="28"/>
      <c r="F81" s="28"/>
      <c r="G81" s="28"/>
      <c r="H81" s="7"/>
    </row>
    <row r="82" spans="1:8" ht="14.4" customHeight="1" x14ac:dyDescent="0.3">
      <c r="A82" s="59" t="s">
        <v>172</v>
      </c>
      <c r="B82" s="3" t="s">
        <v>392</v>
      </c>
      <c r="C82" s="3" t="s">
        <v>393</v>
      </c>
      <c r="D82" s="3" t="s">
        <v>394</v>
      </c>
      <c r="E82" s="60"/>
      <c r="F82" s="60"/>
      <c r="G82" s="60"/>
      <c r="H82" s="7"/>
    </row>
    <row r="83" spans="1:8" ht="43.2" x14ac:dyDescent="0.3">
      <c r="A83" s="59" t="s">
        <v>174</v>
      </c>
      <c r="B83" s="3" t="s">
        <v>393</v>
      </c>
      <c r="C83" s="3" t="s">
        <v>394</v>
      </c>
      <c r="D83" s="37" t="s">
        <v>384</v>
      </c>
      <c r="E83" s="42"/>
      <c r="F83" s="42"/>
      <c r="G83" s="42"/>
      <c r="H83" s="7"/>
    </row>
    <row r="84" spans="1:8" ht="14.4" x14ac:dyDescent="0.3">
      <c r="A84" s="61" t="s">
        <v>175</v>
      </c>
      <c r="B84" s="42"/>
      <c r="C84" s="42"/>
      <c r="D84" s="42"/>
      <c r="E84" s="42"/>
      <c r="F84" s="42"/>
      <c r="G84" s="42"/>
      <c r="H84" s="7"/>
    </row>
    <row r="85" spans="1:8" ht="14.4" x14ac:dyDescent="0.3">
      <c r="A85" s="61" t="s">
        <v>176</v>
      </c>
      <c r="B85" s="42">
        <v>1.2</v>
      </c>
      <c r="C85" s="42">
        <v>1.2</v>
      </c>
      <c r="D85" s="42">
        <v>1.2</v>
      </c>
      <c r="E85" s="42"/>
      <c r="F85" s="42"/>
      <c r="G85" s="42"/>
      <c r="H85" s="7"/>
    </row>
    <row r="86" spans="1:8" ht="14.4" x14ac:dyDescent="0.3">
      <c r="A86" s="61" t="s">
        <v>177</v>
      </c>
      <c r="B86" s="42">
        <f>B85/1000</f>
        <v>1.1999999999999999E-3</v>
      </c>
      <c r="C86" s="42">
        <f>C85/1000</f>
        <v>1.1999999999999999E-3</v>
      </c>
      <c r="D86" s="42">
        <f>D85/1000</f>
        <v>1.1999999999999999E-3</v>
      </c>
      <c r="E86" s="42"/>
      <c r="F86" s="42"/>
      <c r="G86" s="42"/>
      <c r="H86" s="7"/>
    </row>
    <row r="87" spans="1:8" ht="14.4" x14ac:dyDescent="0.3">
      <c r="A87" s="61" t="s">
        <v>178</v>
      </c>
      <c r="B87" s="42">
        <v>31</v>
      </c>
      <c r="C87" s="42">
        <v>2311</v>
      </c>
      <c r="D87" s="42">
        <v>122</v>
      </c>
      <c r="E87" s="42"/>
      <c r="F87" s="42"/>
      <c r="G87" s="42"/>
      <c r="H87" s="7"/>
    </row>
    <row r="88" spans="1:8" ht="28.8" x14ac:dyDescent="0.3">
      <c r="A88" s="59" t="s">
        <v>143</v>
      </c>
      <c r="B88" s="42">
        <v>0.44491199999999997</v>
      </c>
      <c r="C88" s="42">
        <v>0.72293300000000005</v>
      </c>
      <c r="D88" s="42">
        <v>0.41136899999999998</v>
      </c>
      <c r="E88" s="42"/>
      <c r="F88" s="42"/>
      <c r="G88" s="42"/>
      <c r="H88" s="29" t="s">
        <v>113</v>
      </c>
    </row>
    <row r="89" spans="1:8" ht="14.4" x14ac:dyDescent="0.3">
      <c r="A89" s="61" t="s">
        <v>144</v>
      </c>
      <c r="B89" s="42">
        <f>B86*B87*B88</f>
        <v>1.6550726399999997E-2</v>
      </c>
      <c r="C89" s="42">
        <f>C86*C87*C88</f>
        <v>2.0048377955999999</v>
      </c>
      <c r="D89" s="42">
        <f>D86*D87*D88</f>
        <v>6.0224421599999987E-2</v>
      </c>
      <c r="E89" s="42"/>
      <c r="F89" s="42"/>
      <c r="G89" s="42"/>
      <c r="H89" s="29" t="s">
        <v>179</v>
      </c>
    </row>
    <row r="90" spans="1:8" ht="28.8" x14ac:dyDescent="0.3">
      <c r="A90" s="38" t="s">
        <v>180</v>
      </c>
      <c r="B90" s="145">
        <f>B89+C89+D89</f>
        <v>2.0816129436000002</v>
      </c>
      <c r="C90" s="145"/>
      <c r="D90" s="146"/>
      <c r="E90" s="58"/>
      <c r="F90" s="58"/>
      <c r="G90" s="58"/>
      <c r="H90" s="29" t="s">
        <v>181</v>
      </c>
    </row>
    <row r="91" spans="1:8" ht="14.4" x14ac:dyDescent="0.3">
      <c r="A91" s="38"/>
      <c r="B91" s="57"/>
      <c r="C91" s="57"/>
      <c r="D91" s="58"/>
      <c r="E91" s="58"/>
      <c r="F91" s="58"/>
      <c r="G91" s="58"/>
      <c r="H91" s="29"/>
    </row>
    <row r="92" spans="1:8" ht="14.4" x14ac:dyDescent="0.3">
      <c r="A92" s="8"/>
      <c r="B92" s="10"/>
      <c r="C92" s="10"/>
      <c r="D92" s="6"/>
      <c r="E92" s="6"/>
      <c r="F92" s="6"/>
      <c r="G92" s="6"/>
      <c r="H92" s="7"/>
    </row>
    <row r="93" spans="1:8" ht="14.4" x14ac:dyDescent="0.3">
      <c r="A93" s="35" t="s">
        <v>182</v>
      </c>
      <c r="B93" s="10"/>
      <c r="C93" s="10"/>
      <c r="D93" s="6"/>
      <c r="E93" s="6"/>
      <c r="F93" s="6"/>
      <c r="G93" s="6"/>
      <c r="H93" s="7"/>
    </row>
    <row r="94" spans="1:8" ht="14.4" x14ac:dyDescent="0.3">
      <c r="A94" s="8" t="s">
        <v>62</v>
      </c>
      <c r="B94" s="28" t="s">
        <v>183</v>
      </c>
      <c r="C94" s="10"/>
      <c r="D94" s="6"/>
      <c r="E94" s="6"/>
      <c r="F94" s="6"/>
      <c r="G94" s="6"/>
      <c r="H94" s="29" t="s">
        <v>184</v>
      </c>
    </row>
    <row r="95" spans="1:8" ht="14.4" x14ac:dyDescent="0.3">
      <c r="A95" s="8" t="s">
        <v>67</v>
      </c>
      <c r="B95" s="28" t="s">
        <v>185</v>
      </c>
      <c r="C95" s="10"/>
      <c r="D95" s="6"/>
      <c r="E95" s="6"/>
      <c r="F95" s="6"/>
      <c r="G95" s="6"/>
      <c r="H95" s="7"/>
    </row>
    <row r="96" spans="1:8" ht="14.4" x14ac:dyDescent="0.3">
      <c r="A96" s="8" t="s">
        <v>73</v>
      </c>
      <c r="B96" s="28" t="s">
        <v>186</v>
      </c>
      <c r="C96" s="10"/>
      <c r="D96" s="6"/>
      <c r="E96" s="6"/>
      <c r="F96" s="6"/>
      <c r="G96" s="6"/>
      <c r="H96" s="7"/>
    </row>
    <row r="97" spans="1:8" ht="14.4" x14ac:dyDescent="0.3">
      <c r="A97" s="8" t="s">
        <v>78</v>
      </c>
      <c r="B97" s="28" t="s">
        <v>187</v>
      </c>
      <c r="C97" s="5"/>
      <c r="D97" s="6"/>
      <c r="E97" s="6"/>
      <c r="F97" s="6"/>
      <c r="G97" s="6"/>
      <c r="H97" s="7"/>
    </row>
    <row r="98" spans="1:8" ht="14.4" x14ac:dyDescent="0.3">
      <c r="A98" s="8" t="s">
        <v>188</v>
      </c>
      <c r="B98" s="28" t="s">
        <v>189</v>
      </c>
      <c r="C98" s="5"/>
      <c r="D98" s="6"/>
      <c r="E98" s="6"/>
      <c r="F98" s="6"/>
      <c r="G98" s="6"/>
      <c r="H98" s="7"/>
    </row>
    <row r="99" spans="1:8" ht="28.8" x14ac:dyDescent="0.3">
      <c r="A99" s="62" t="s">
        <v>190</v>
      </c>
      <c r="B99" s="10">
        <v>15000</v>
      </c>
      <c r="C99" s="5"/>
      <c r="D99" s="6"/>
      <c r="E99" s="6"/>
      <c r="F99" s="6"/>
      <c r="G99" s="6"/>
      <c r="H99" s="29" t="s">
        <v>191</v>
      </c>
    </row>
    <row r="100" spans="1:8" ht="14.4" x14ac:dyDescent="0.3">
      <c r="A100" s="63" t="s">
        <v>192</v>
      </c>
      <c r="B100" s="10">
        <v>9000</v>
      </c>
      <c r="C100" s="5"/>
      <c r="D100" s="6"/>
      <c r="E100" s="6"/>
      <c r="F100" s="6"/>
      <c r="G100" s="6"/>
      <c r="H100" s="29" t="s">
        <v>193</v>
      </c>
    </row>
    <row r="101" spans="1:8" ht="14.4" x14ac:dyDescent="0.3">
      <c r="A101" s="63" t="s">
        <v>194</v>
      </c>
      <c r="B101" s="10">
        <v>500</v>
      </c>
      <c r="C101" s="5"/>
      <c r="D101" s="6"/>
      <c r="E101" s="6"/>
      <c r="F101" s="6"/>
      <c r="G101" s="6"/>
      <c r="H101" s="29" t="s">
        <v>195</v>
      </c>
    </row>
    <row r="102" spans="1:8" ht="28.8" x14ac:dyDescent="0.3">
      <c r="A102" s="64" t="s">
        <v>196</v>
      </c>
      <c r="B102" s="10">
        <f>PRODUCT(B23,B101)</f>
        <v>3500</v>
      </c>
      <c r="C102" s="5"/>
      <c r="D102" s="6"/>
      <c r="E102" s="6"/>
      <c r="F102" s="6"/>
      <c r="G102" s="6"/>
      <c r="H102" s="29" t="s">
        <v>197</v>
      </c>
    </row>
    <row r="103" spans="1:8" ht="14.4" x14ac:dyDescent="0.3">
      <c r="A103" s="136" t="s">
        <v>397</v>
      </c>
      <c r="B103" s="125">
        <f>(B102/B100)</f>
        <v>0.3888888888888889</v>
      </c>
      <c r="C103" s="5"/>
      <c r="D103" s="6"/>
      <c r="E103" s="6"/>
      <c r="F103" s="6"/>
      <c r="G103" s="6"/>
      <c r="H103" s="29"/>
    </row>
    <row r="104" spans="1:8" ht="43.2" x14ac:dyDescent="0.3">
      <c r="A104" s="62" t="s">
        <v>198</v>
      </c>
      <c r="B104" s="10">
        <f>(B102/B100)*B99</f>
        <v>5833.333333333333</v>
      </c>
      <c r="C104" s="5"/>
      <c r="D104" s="6"/>
      <c r="E104" s="6"/>
      <c r="F104" s="6"/>
      <c r="G104" s="6"/>
      <c r="H104" s="29" t="s">
        <v>199</v>
      </c>
    </row>
    <row r="105" spans="1:8" ht="43.2" x14ac:dyDescent="0.3">
      <c r="A105" s="62" t="s">
        <v>200</v>
      </c>
      <c r="B105" s="65">
        <f>B104/B101</f>
        <v>11.666666666666666</v>
      </c>
      <c r="C105" s="7"/>
      <c r="D105" s="66"/>
      <c r="E105" s="66"/>
      <c r="F105" s="66"/>
      <c r="G105" s="66"/>
      <c r="H105" s="29" t="s">
        <v>201</v>
      </c>
    </row>
    <row r="106" spans="1:8" ht="28.8" x14ac:dyDescent="0.3">
      <c r="A106" s="63" t="s">
        <v>202</v>
      </c>
      <c r="B106" s="65">
        <v>0.95075500000000002</v>
      </c>
      <c r="C106" s="67"/>
      <c r="D106" s="6"/>
      <c r="E106" s="6"/>
      <c r="F106" s="6"/>
      <c r="G106" s="6"/>
      <c r="H106" s="29" t="s">
        <v>113</v>
      </c>
    </row>
    <row r="107" spans="1:8" ht="28.8" x14ac:dyDescent="0.3">
      <c r="A107" s="20" t="s">
        <v>203</v>
      </c>
      <c r="B107" s="153">
        <f>B105*B106</f>
        <v>11.092141666666667</v>
      </c>
      <c r="C107" s="153"/>
      <c r="D107" s="154"/>
      <c r="E107" s="68"/>
      <c r="F107" s="68"/>
      <c r="G107" s="68"/>
      <c r="H107" s="29" t="s">
        <v>204</v>
      </c>
    </row>
    <row r="108" spans="1:8" ht="14.4" x14ac:dyDescent="0.3">
      <c r="A108" s="9"/>
      <c r="B108" s="6"/>
      <c r="C108" s="69"/>
      <c r="D108" s="69"/>
      <c r="E108" s="69"/>
      <c r="F108" s="69"/>
      <c r="G108" s="69"/>
      <c r="H108" s="7"/>
    </row>
    <row r="109" spans="1:8" ht="14.4" x14ac:dyDescent="0.3">
      <c r="A109" s="4" t="s">
        <v>205</v>
      </c>
      <c r="B109" s="14"/>
      <c r="C109" s="69"/>
      <c r="D109" s="69"/>
      <c r="E109" s="69"/>
      <c r="F109" s="69"/>
      <c r="G109" s="69"/>
      <c r="H109" s="7"/>
    </row>
    <row r="110" spans="1:8" ht="28.8" x14ac:dyDescent="0.3">
      <c r="A110" s="16" t="s">
        <v>206</v>
      </c>
      <c r="B110" s="28" t="s">
        <v>207</v>
      </c>
      <c r="C110" s="5"/>
      <c r="D110" s="6"/>
      <c r="E110" s="6"/>
      <c r="F110" s="6"/>
      <c r="G110" s="6"/>
      <c r="H110" s="29" t="s">
        <v>208</v>
      </c>
    </row>
    <row r="111" spans="1:8" ht="14.4" x14ac:dyDescent="0.3">
      <c r="A111" s="16" t="s">
        <v>209</v>
      </c>
      <c r="B111" s="28" t="s">
        <v>183</v>
      </c>
      <c r="C111" s="5"/>
      <c r="D111" s="6"/>
      <c r="E111" s="6"/>
      <c r="F111" s="6"/>
      <c r="G111" s="6"/>
      <c r="H111" s="7"/>
    </row>
    <row r="112" spans="1:8" ht="14.4" x14ac:dyDescent="0.3">
      <c r="A112" s="16" t="s">
        <v>210</v>
      </c>
      <c r="B112" s="28" t="s">
        <v>185</v>
      </c>
      <c r="C112" s="5"/>
      <c r="D112" s="6"/>
      <c r="E112" s="6"/>
      <c r="F112" s="6"/>
      <c r="G112" s="6"/>
      <c r="H112" s="7"/>
    </row>
    <row r="113" spans="1:8" ht="14.4" x14ac:dyDescent="0.3">
      <c r="A113" s="16" t="s">
        <v>73</v>
      </c>
      <c r="B113" s="28" t="s">
        <v>186</v>
      </c>
      <c r="C113" s="5"/>
      <c r="D113" s="6"/>
      <c r="E113" s="6"/>
      <c r="F113" s="6"/>
      <c r="G113" s="6"/>
      <c r="H113" s="7"/>
    </row>
    <row r="114" spans="1:8" ht="14.4" x14ac:dyDescent="0.3">
      <c r="A114" s="16" t="s">
        <v>78</v>
      </c>
      <c r="B114" s="28" t="s">
        <v>187</v>
      </c>
      <c r="C114" s="5"/>
      <c r="D114" s="6"/>
      <c r="E114" s="6"/>
      <c r="F114" s="6"/>
      <c r="G114" s="6"/>
      <c r="H114" s="7"/>
    </row>
    <row r="115" spans="1:8" ht="14.4" x14ac:dyDescent="0.3">
      <c r="A115" s="16" t="s">
        <v>188</v>
      </c>
      <c r="B115" s="28" t="s">
        <v>189</v>
      </c>
      <c r="C115" s="5"/>
      <c r="D115" s="6"/>
      <c r="E115" s="6"/>
      <c r="F115" s="6"/>
      <c r="G115" s="6"/>
      <c r="H115" s="7"/>
    </row>
    <row r="116" spans="1:8" ht="14.4" x14ac:dyDescent="0.3">
      <c r="A116" s="16" t="s">
        <v>211</v>
      </c>
      <c r="B116" s="10">
        <v>300</v>
      </c>
      <c r="C116" s="5"/>
      <c r="D116" s="6"/>
      <c r="E116" s="6"/>
      <c r="F116" s="6"/>
      <c r="G116" s="6"/>
      <c r="H116" s="29" t="s">
        <v>212</v>
      </c>
    </row>
    <row r="117" spans="1:8" ht="43.2" x14ac:dyDescent="0.3">
      <c r="A117" s="70" t="s">
        <v>213</v>
      </c>
      <c r="B117" s="10">
        <f>(B102/B100)*B116</f>
        <v>116.66666666666667</v>
      </c>
      <c r="C117" s="50"/>
      <c r="D117" s="52"/>
      <c r="E117" s="52"/>
      <c r="F117" s="52"/>
      <c r="G117" s="52"/>
      <c r="H117" s="29" t="s">
        <v>214</v>
      </c>
    </row>
    <row r="118" spans="1:8" ht="43.2" x14ac:dyDescent="0.3">
      <c r="A118" s="16" t="s">
        <v>215</v>
      </c>
      <c r="B118" s="10">
        <f>B117/B101</f>
        <v>0.23333333333333334</v>
      </c>
      <c r="C118" s="5"/>
      <c r="D118" s="6"/>
      <c r="E118" s="6"/>
      <c r="F118" s="6"/>
      <c r="G118" s="6"/>
      <c r="H118" s="29" t="s">
        <v>216</v>
      </c>
    </row>
    <row r="119" spans="1:8" ht="14.4" x14ac:dyDescent="0.3">
      <c r="A119" s="16" t="s">
        <v>217</v>
      </c>
      <c r="B119" s="28" t="s">
        <v>218</v>
      </c>
      <c r="C119" s="5"/>
      <c r="D119" s="6"/>
      <c r="E119" s="6"/>
      <c r="F119" s="6"/>
      <c r="G119" s="6"/>
      <c r="H119" s="7"/>
    </row>
    <row r="120" spans="1:8" ht="28.8" x14ac:dyDescent="0.3">
      <c r="A120" s="16" t="s">
        <v>219</v>
      </c>
      <c r="B120" s="10">
        <v>0.95075500000000002</v>
      </c>
      <c r="C120" s="5"/>
      <c r="D120" s="6"/>
      <c r="E120" s="6"/>
      <c r="F120" s="6"/>
      <c r="G120" s="6"/>
      <c r="H120" s="29" t="s">
        <v>113</v>
      </c>
    </row>
    <row r="121" spans="1:8" s="73" customFormat="1" ht="27" customHeight="1" x14ac:dyDescent="0.3">
      <c r="A121" s="71" t="s">
        <v>220</v>
      </c>
      <c r="B121" s="155">
        <f>B118*B120</f>
        <v>0.22184283333333335</v>
      </c>
      <c r="C121" s="155"/>
      <c r="D121" s="156"/>
      <c r="E121" s="72"/>
      <c r="F121" s="72"/>
      <c r="G121" s="72"/>
      <c r="H121" s="29" t="s">
        <v>221</v>
      </c>
    </row>
    <row r="122" spans="1:8" ht="14.4" x14ac:dyDescent="0.3">
      <c r="A122" s="74"/>
      <c r="B122" s="74"/>
      <c r="C122" s="69"/>
      <c r="D122" s="69"/>
      <c r="E122" s="69"/>
      <c r="F122" s="69"/>
      <c r="G122" s="69"/>
      <c r="H122" s="7"/>
    </row>
    <row r="123" spans="1:8" ht="14.4" x14ac:dyDescent="0.3">
      <c r="A123" s="4" t="s">
        <v>222</v>
      </c>
      <c r="B123" s="14"/>
      <c r="C123" s="5"/>
      <c r="D123" s="6"/>
      <c r="E123" s="6"/>
      <c r="F123" s="6"/>
      <c r="G123" s="6"/>
      <c r="H123" s="7"/>
    </row>
    <row r="124" spans="1:8" ht="14.4" x14ac:dyDescent="0.3">
      <c r="A124" s="16" t="s">
        <v>223</v>
      </c>
      <c r="B124" s="28" t="s">
        <v>224</v>
      </c>
      <c r="C124" s="5"/>
      <c r="D124" s="6"/>
      <c r="E124" s="6"/>
      <c r="F124" s="6"/>
      <c r="G124" s="6"/>
      <c r="H124" s="29" t="s">
        <v>225</v>
      </c>
    </row>
    <row r="125" spans="1:8" ht="14.4" x14ac:dyDescent="0.3">
      <c r="A125" s="16" t="s">
        <v>209</v>
      </c>
      <c r="B125" s="28" t="s">
        <v>226</v>
      </c>
      <c r="C125" s="5"/>
      <c r="D125" s="6"/>
      <c r="E125" s="6"/>
      <c r="F125" s="6"/>
      <c r="G125" s="6"/>
      <c r="H125" s="7"/>
    </row>
    <row r="126" spans="1:8" ht="14.4" x14ac:dyDescent="0.3">
      <c r="A126" s="16" t="s">
        <v>210</v>
      </c>
      <c r="B126" s="28" t="s">
        <v>224</v>
      </c>
      <c r="C126" s="5"/>
      <c r="D126" s="6"/>
      <c r="E126" s="6"/>
      <c r="F126" s="6"/>
      <c r="G126" s="6"/>
      <c r="H126" s="7"/>
    </row>
    <row r="127" spans="1:8" ht="14.4" x14ac:dyDescent="0.3">
      <c r="A127" s="16" t="s">
        <v>73</v>
      </c>
      <c r="B127" s="28" t="s">
        <v>227</v>
      </c>
      <c r="C127" s="5"/>
      <c r="D127" s="6"/>
      <c r="E127" s="6"/>
      <c r="F127" s="6"/>
      <c r="G127" s="6"/>
      <c r="H127" s="7"/>
    </row>
    <row r="128" spans="1:8" ht="14.4" x14ac:dyDescent="0.3">
      <c r="A128" s="16" t="s">
        <v>78</v>
      </c>
      <c r="B128" s="28" t="s">
        <v>228</v>
      </c>
      <c r="C128" s="5"/>
      <c r="D128" s="6"/>
      <c r="E128" s="6"/>
      <c r="F128" s="6"/>
      <c r="G128" s="6"/>
      <c r="H128" s="7"/>
    </row>
    <row r="129" spans="1:15" ht="14.4" x14ac:dyDescent="0.3">
      <c r="A129" s="16" t="s">
        <v>50</v>
      </c>
      <c r="B129" s="10">
        <v>75</v>
      </c>
      <c r="C129" s="5"/>
      <c r="D129" s="6"/>
      <c r="E129" s="6"/>
      <c r="F129" s="6"/>
      <c r="G129" s="6"/>
      <c r="H129" s="29" t="s">
        <v>229</v>
      </c>
    </row>
    <row r="130" spans="1:15" ht="14.4" x14ac:dyDescent="0.3">
      <c r="A130" s="16" t="s">
        <v>217</v>
      </c>
      <c r="B130" s="10" t="s">
        <v>230</v>
      </c>
      <c r="C130" s="5"/>
      <c r="D130" s="6"/>
      <c r="E130" s="6"/>
      <c r="F130" s="6"/>
      <c r="G130" s="6"/>
      <c r="H130" s="7"/>
    </row>
    <row r="131" spans="1:15" ht="43.2" x14ac:dyDescent="0.3">
      <c r="A131" s="16" t="s">
        <v>231</v>
      </c>
      <c r="B131" s="10">
        <f>(B102/B100)*B129</f>
        <v>29.166666666666668</v>
      </c>
      <c r="C131" s="5"/>
      <c r="D131" s="6"/>
      <c r="E131" s="6"/>
      <c r="F131" s="6"/>
      <c r="G131" s="6"/>
      <c r="H131" s="29" t="s">
        <v>232</v>
      </c>
    </row>
    <row r="132" spans="1:15" ht="43.2" x14ac:dyDescent="0.3">
      <c r="A132" s="16" t="s">
        <v>233</v>
      </c>
      <c r="B132" s="10">
        <f>B131/B101</f>
        <v>5.8333333333333334E-2</v>
      </c>
      <c r="C132" s="5"/>
      <c r="D132" s="6"/>
      <c r="E132" s="6"/>
      <c r="F132" s="6"/>
      <c r="G132" s="6"/>
      <c r="H132" s="29" t="s">
        <v>234</v>
      </c>
    </row>
    <row r="133" spans="1:15" ht="28.8" x14ac:dyDescent="0.3">
      <c r="A133" s="16" t="s">
        <v>235</v>
      </c>
      <c r="B133" s="10">
        <v>0.66483599999999998</v>
      </c>
      <c r="C133" s="5"/>
      <c r="D133" s="6"/>
      <c r="E133" s="6"/>
      <c r="F133" s="6"/>
      <c r="G133" s="6"/>
      <c r="H133" s="29" t="s">
        <v>113</v>
      </c>
    </row>
    <row r="134" spans="1:15" ht="28.8" x14ac:dyDescent="0.3">
      <c r="A134" s="75" t="s">
        <v>236</v>
      </c>
      <c r="B134" s="157">
        <f>B132*B133</f>
        <v>3.87821E-2</v>
      </c>
      <c r="C134" s="157"/>
      <c r="D134" s="158"/>
      <c r="E134" s="76"/>
      <c r="F134" s="76"/>
      <c r="G134" s="76"/>
      <c r="H134" s="29" t="s">
        <v>237</v>
      </c>
    </row>
    <row r="135" spans="1:15" ht="14.4" x14ac:dyDescent="0.3">
      <c r="A135" s="8"/>
      <c r="B135" s="5"/>
      <c r="C135" s="5"/>
      <c r="D135" s="6"/>
      <c r="E135" s="6"/>
      <c r="F135" s="6"/>
      <c r="G135" s="6"/>
      <c r="H135" s="7"/>
    </row>
    <row r="136" spans="1:15" ht="14.4" x14ac:dyDescent="0.3">
      <c r="A136" s="77" t="s">
        <v>238</v>
      </c>
      <c r="B136" s="5"/>
      <c r="C136" s="5"/>
      <c r="D136" s="6"/>
      <c r="E136" s="6"/>
      <c r="F136" s="6"/>
      <c r="G136" s="6"/>
      <c r="H136" s="7"/>
    </row>
    <row r="137" spans="1:15" ht="14.4" x14ac:dyDescent="0.3">
      <c r="A137" s="8" t="s">
        <v>239</v>
      </c>
      <c r="B137" t="s">
        <v>240</v>
      </c>
      <c r="C137" s="10" t="s">
        <v>241</v>
      </c>
      <c r="D137" s="42" t="s">
        <v>242</v>
      </c>
      <c r="E137" s="42"/>
      <c r="F137" s="42"/>
      <c r="G137" s="42"/>
      <c r="H137" s="29" t="s">
        <v>243</v>
      </c>
      <c r="I137" t="s">
        <v>244</v>
      </c>
      <c r="N137" s="30"/>
      <c r="O137" s="30"/>
    </row>
    <row r="138" spans="1:15" ht="14.4" x14ac:dyDescent="0.3">
      <c r="A138" s="8" t="s">
        <v>44</v>
      </c>
      <c r="B138" s="10">
        <v>14</v>
      </c>
      <c r="C138" s="5">
        <v>0</v>
      </c>
      <c r="D138" s="6"/>
      <c r="E138" s="6"/>
      <c r="F138" s="6"/>
      <c r="G138" s="6"/>
      <c r="H138" s="29" t="s">
        <v>245</v>
      </c>
      <c r="I138" t="s">
        <v>246</v>
      </c>
      <c r="N138" s="32"/>
      <c r="O138" s="32"/>
    </row>
    <row r="139" spans="1:15" ht="43.2" x14ac:dyDescent="0.3">
      <c r="A139" s="8" t="s">
        <v>247</v>
      </c>
      <c r="B139" s="78">
        <f>(B102/B100)*B138</f>
        <v>5.4444444444444446</v>
      </c>
      <c r="C139" s="78">
        <f>(B102/B100)*C138</f>
        <v>0</v>
      </c>
      <c r="D139" s="79">
        <f>(B102/B100)*D138</f>
        <v>0</v>
      </c>
      <c r="E139" s="79"/>
      <c r="F139" s="79"/>
      <c r="G139" s="79"/>
      <c r="H139" s="29" t="s">
        <v>248</v>
      </c>
      <c r="N139" s="32"/>
      <c r="O139" s="32"/>
    </row>
    <row r="140" spans="1:15" ht="43.2" x14ac:dyDescent="0.3">
      <c r="A140" s="8" t="s">
        <v>249</v>
      </c>
      <c r="B140" s="78">
        <f>B139/B101</f>
        <v>1.0888888888888889E-2</v>
      </c>
      <c r="C140" s="78">
        <f>C139/B101</f>
        <v>0</v>
      </c>
      <c r="D140" s="79">
        <f>D139/B101</f>
        <v>0</v>
      </c>
      <c r="E140" s="79"/>
      <c r="F140" s="79"/>
      <c r="G140" s="79"/>
      <c r="H140" s="29" t="s">
        <v>250</v>
      </c>
      <c r="N140" s="32"/>
      <c r="O140" s="32"/>
    </row>
    <row r="141" spans="1:15" ht="14.4" x14ac:dyDescent="0.3">
      <c r="A141" s="8" t="s">
        <v>112</v>
      </c>
      <c r="B141" s="78">
        <v>1</v>
      </c>
      <c r="C141" s="80">
        <v>28</v>
      </c>
      <c r="D141" s="81">
        <v>298</v>
      </c>
      <c r="E141" s="81"/>
      <c r="F141" s="81"/>
      <c r="G141" s="81"/>
      <c r="H141" s="29" t="s">
        <v>251</v>
      </c>
      <c r="N141" s="32"/>
      <c r="O141" s="32"/>
    </row>
    <row r="142" spans="1:15" ht="28.8" x14ac:dyDescent="0.3">
      <c r="A142" s="8" t="s">
        <v>114</v>
      </c>
      <c r="B142" s="82">
        <f>B140*B141</f>
        <v>1.0888888888888889E-2</v>
      </c>
      <c r="C142" s="10">
        <f>C140*C141</f>
        <v>0</v>
      </c>
      <c r="D142" s="42">
        <f>D140*D141</f>
        <v>0</v>
      </c>
      <c r="E142" s="42"/>
      <c r="F142" s="42"/>
      <c r="G142" s="42"/>
      <c r="H142" s="29" t="s">
        <v>252</v>
      </c>
      <c r="N142" s="32"/>
      <c r="O142" s="32"/>
    </row>
    <row r="143" spans="1:15" ht="14.4" x14ac:dyDescent="0.3">
      <c r="A143" s="20" t="s">
        <v>253</v>
      </c>
      <c r="B143" s="145">
        <f>SUM(B142:D142)</f>
        <v>1.0888888888888889E-2</v>
      </c>
      <c r="C143" s="145"/>
      <c r="D143" s="146"/>
      <c r="E143" s="58"/>
      <c r="F143" s="58"/>
      <c r="G143" s="58"/>
      <c r="H143" s="29" t="s">
        <v>254</v>
      </c>
      <c r="N143" s="32"/>
      <c r="O143" s="32"/>
    </row>
    <row r="144" spans="1:15" ht="14.4" x14ac:dyDescent="0.3">
      <c r="A144" s="12"/>
      <c r="B144" s="5"/>
      <c r="C144" s="5"/>
      <c r="D144" s="6"/>
      <c r="E144" s="6"/>
      <c r="F144" s="6"/>
      <c r="G144" s="6"/>
      <c r="H144" s="7"/>
    </row>
    <row r="145" spans="1:8" ht="14.4" x14ac:dyDescent="0.3">
      <c r="A145" s="77" t="s">
        <v>255</v>
      </c>
      <c r="B145" s="5"/>
      <c r="C145" s="5"/>
      <c r="D145" s="6"/>
      <c r="E145" s="6"/>
      <c r="F145" s="6"/>
      <c r="G145" s="6"/>
      <c r="H145" s="7"/>
    </row>
    <row r="146" spans="1:8" ht="14.4" x14ac:dyDescent="0.3">
      <c r="A146" s="12" t="s">
        <v>256</v>
      </c>
      <c r="B146" s="5"/>
      <c r="C146" s="5"/>
      <c r="D146" s="6"/>
      <c r="E146" s="6"/>
      <c r="F146" s="6"/>
      <c r="G146" s="6"/>
      <c r="H146" s="7"/>
    </row>
    <row r="147" spans="1:8" ht="14.4" x14ac:dyDescent="0.3">
      <c r="A147" s="16" t="s">
        <v>209</v>
      </c>
      <c r="B147" s="28" t="s">
        <v>257</v>
      </c>
      <c r="C147" s="5"/>
      <c r="D147" s="6"/>
      <c r="E147" s="6"/>
      <c r="F147" s="6"/>
      <c r="G147" s="6"/>
      <c r="H147" s="29" t="s">
        <v>258</v>
      </c>
    </row>
    <row r="148" spans="1:8" ht="14.4" x14ac:dyDescent="0.3">
      <c r="A148" s="16" t="s">
        <v>210</v>
      </c>
      <c r="B148" s="28" t="s">
        <v>259</v>
      </c>
      <c r="C148" s="5"/>
      <c r="D148" s="6"/>
      <c r="E148" s="6"/>
      <c r="F148" s="6"/>
      <c r="G148" s="6"/>
      <c r="H148" s="7"/>
    </row>
    <row r="149" spans="1:8" ht="14.4" x14ac:dyDescent="0.3">
      <c r="A149" s="16" t="s">
        <v>73</v>
      </c>
      <c r="B149" s="28" t="s">
        <v>260</v>
      </c>
      <c r="C149" s="5"/>
      <c r="D149" s="6"/>
      <c r="E149" s="6"/>
      <c r="F149" s="6"/>
      <c r="G149" s="6"/>
      <c r="H149" s="7"/>
    </row>
    <row r="150" spans="1:8" ht="14.4" x14ac:dyDescent="0.3">
      <c r="A150" s="16" t="s">
        <v>78</v>
      </c>
      <c r="B150" s="28" t="s">
        <v>261</v>
      </c>
      <c r="C150" s="5"/>
      <c r="D150" s="6"/>
      <c r="E150" s="6"/>
      <c r="F150" s="6"/>
      <c r="G150" s="6"/>
      <c r="H150" s="7"/>
    </row>
    <row r="151" spans="1:8" ht="14.4" x14ac:dyDescent="0.3">
      <c r="A151" s="16" t="s">
        <v>50</v>
      </c>
      <c r="B151" s="5">
        <v>0</v>
      </c>
      <c r="C151" s="5"/>
      <c r="D151" s="6"/>
      <c r="E151" s="6"/>
      <c r="F151" s="6"/>
      <c r="G151" s="6"/>
      <c r="H151" s="29" t="s">
        <v>262</v>
      </c>
    </row>
    <row r="152" spans="1:8" ht="14.4" x14ac:dyDescent="0.3">
      <c r="A152" s="16" t="s">
        <v>217</v>
      </c>
      <c r="B152" s="5" t="s">
        <v>230</v>
      </c>
      <c r="C152" s="5"/>
      <c r="D152" s="6"/>
      <c r="E152" s="6"/>
      <c r="F152" s="6"/>
      <c r="G152" s="6"/>
      <c r="H152" s="7"/>
    </row>
    <row r="153" spans="1:8" ht="43.2" x14ac:dyDescent="0.3">
      <c r="A153" s="12" t="s">
        <v>263</v>
      </c>
      <c r="B153" s="5">
        <f>(B102/B100)*B151</f>
        <v>0</v>
      </c>
      <c r="C153" s="5"/>
      <c r="D153" s="6"/>
      <c r="E153" s="6"/>
      <c r="F153" s="6"/>
      <c r="G153" s="6"/>
      <c r="H153" s="29" t="s">
        <v>264</v>
      </c>
    </row>
    <row r="154" spans="1:8" ht="43.2" x14ac:dyDescent="0.3">
      <c r="A154" s="12" t="s">
        <v>265</v>
      </c>
      <c r="B154" s="5">
        <f>B153/B101</f>
        <v>0</v>
      </c>
      <c r="C154" s="5"/>
      <c r="D154" s="6"/>
      <c r="E154" s="6"/>
      <c r="F154" s="6"/>
      <c r="G154" s="6"/>
      <c r="H154" s="29" t="s">
        <v>266</v>
      </c>
    </row>
    <row r="155" spans="1:8" ht="28.8" x14ac:dyDescent="0.3">
      <c r="A155" s="12" t="s">
        <v>267</v>
      </c>
      <c r="B155" s="28">
        <v>1.371027</v>
      </c>
      <c r="C155" s="5"/>
      <c r="D155" s="6"/>
      <c r="E155" s="6"/>
      <c r="F155" s="6"/>
      <c r="G155" s="6"/>
      <c r="H155" s="29" t="s">
        <v>113</v>
      </c>
    </row>
    <row r="156" spans="1:8" ht="28.8" x14ac:dyDescent="0.3">
      <c r="A156" s="20" t="s">
        <v>268</v>
      </c>
      <c r="B156" s="146">
        <f>B154*B155</f>
        <v>0</v>
      </c>
      <c r="C156" s="159"/>
      <c r="D156" s="159"/>
      <c r="E156" s="83"/>
      <c r="F156" s="83"/>
      <c r="G156" s="83"/>
      <c r="H156" s="29" t="s">
        <v>269</v>
      </c>
    </row>
    <row r="157" spans="1:8" ht="14.4" x14ac:dyDescent="0.3">
      <c r="A157" s="5"/>
      <c r="B157" s="5"/>
      <c r="C157" s="5"/>
      <c r="D157" s="6"/>
      <c r="E157" s="6"/>
      <c r="F157" s="6"/>
      <c r="G157" s="6"/>
      <c r="H157" s="7"/>
    </row>
    <row r="158" spans="1:8" ht="14.4" x14ac:dyDescent="0.3">
      <c r="A158" s="84" t="s">
        <v>270</v>
      </c>
      <c r="B158" s="85"/>
      <c r="C158" s="85"/>
      <c r="D158" s="86"/>
      <c r="E158" s="86"/>
      <c r="F158" s="86"/>
      <c r="G158" s="86"/>
      <c r="H158" s="7"/>
    </row>
    <row r="159" spans="1:8" ht="14.4" x14ac:dyDescent="0.3">
      <c r="A159" s="8" t="s">
        <v>62</v>
      </c>
      <c r="B159" s="28" t="s">
        <v>124</v>
      </c>
      <c r="C159" s="28" t="s">
        <v>124</v>
      </c>
      <c r="D159" s="28" t="s">
        <v>124</v>
      </c>
      <c r="E159" s="28"/>
      <c r="F159" s="28"/>
      <c r="G159" s="28"/>
      <c r="H159" s="29" t="s">
        <v>271</v>
      </c>
    </row>
    <row r="160" spans="1:8" ht="14.4" x14ac:dyDescent="0.3">
      <c r="A160" s="8" t="s">
        <v>67</v>
      </c>
      <c r="B160" s="28" t="s">
        <v>126</v>
      </c>
      <c r="C160" s="28" t="s">
        <v>166</v>
      </c>
      <c r="D160" s="28" t="s">
        <v>128</v>
      </c>
      <c r="E160" s="28"/>
      <c r="F160" s="28"/>
      <c r="G160" s="28"/>
      <c r="H160" s="7"/>
    </row>
    <row r="161" spans="1:8" ht="14.4" x14ac:dyDescent="0.3">
      <c r="A161" s="8" t="s">
        <v>73</v>
      </c>
      <c r="B161" s="28" t="s">
        <v>169</v>
      </c>
      <c r="C161" s="28" t="s">
        <v>168</v>
      </c>
      <c r="D161" s="28" t="s">
        <v>132</v>
      </c>
      <c r="E161" s="28"/>
      <c r="F161" s="28"/>
      <c r="G161" s="28"/>
      <c r="H161" s="7"/>
    </row>
    <row r="162" spans="1:8" ht="14.4" x14ac:dyDescent="0.3">
      <c r="A162" s="8" t="s">
        <v>78</v>
      </c>
      <c r="B162" s="28" t="s">
        <v>134</v>
      </c>
      <c r="C162" s="28" t="s">
        <v>168</v>
      </c>
      <c r="D162" s="28" t="s">
        <v>170</v>
      </c>
      <c r="E162" s="28"/>
      <c r="F162" s="28"/>
      <c r="G162" s="28"/>
      <c r="H162" s="7"/>
    </row>
    <row r="163" spans="1:8" ht="72" x14ac:dyDescent="0.3">
      <c r="A163" s="59" t="s">
        <v>172</v>
      </c>
      <c r="B163" s="37" t="s">
        <v>384</v>
      </c>
      <c r="C163" s="37" t="s">
        <v>394</v>
      </c>
      <c r="D163" s="60" t="s">
        <v>173</v>
      </c>
      <c r="E163" s="37"/>
      <c r="F163" s="37"/>
      <c r="G163" s="37"/>
      <c r="H163" s="29" t="s">
        <v>272</v>
      </c>
    </row>
    <row r="164" spans="1:8" ht="66" customHeight="1" x14ac:dyDescent="0.3">
      <c r="A164" s="59" t="s">
        <v>174</v>
      </c>
      <c r="B164" s="37" t="s">
        <v>394</v>
      </c>
      <c r="C164" s="60" t="s">
        <v>173</v>
      </c>
      <c r="D164" s="60" t="s">
        <v>273</v>
      </c>
      <c r="E164" s="7"/>
      <c r="F164" s="66"/>
      <c r="G164" s="66"/>
      <c r="H164" s="7"/>
    </row>
    <row r="165" spans="1:8" ht="14.4" x14ac:dyDescent="0.3">
      <c r="A165" s="61" t="s">
        <v>175</v>
      </c>
      <c r="B165" s="85"/>
      <c r="C165" s="85"/>
      <c r="D165" s="85"/>
      <c r="E165" s="85"/>
      <c r="F165" s="86"/>
      <c r="G165" s="86"/>
      <c r="H165" s="7"/>
    </row>
    <row r="166" spans="1:8" ht="28.8" x14ac:dyDescent="0.3">
      <c r="A166" s="61" t="s">
        <v>274</v>
      </c>
      <c r="B166" s="51">
        <f>B23+B72</f>
        <v>8.1999999999999993</v>
      </c>
      <c r="C166" s="51">
        <f>B23+B72</f>
        <v>8.1999999999999993</v>
      </c>
      <c r="D166" s="60">
        <f>B23+B72</f>
        <v>8.1999999999999993</v>
      </c>
      <c r="E166" s="60"/>
      <c r="F166" s="60"/>
      <c r="G166" s="60"/>
      <c r="H166" s="29" t="s">
        <v>275</v>
      </c>
    </row>
    <row r="167" spans="1:8" ht="28.8" x14ac:dyDescent="0.3">
      <c r="A167" s="61" t="s">
        <v>177</v>
      </c>
      <c r="B167" s="88">
        <f>B166/1000</f>
        <v>8.199999999999999E-3</v>
      </c>
      <c r="C167" s="88">
        <f>C166/1000</f>
        <v>8.199999999999999E-3</v>
      </c>
      <c r="D167" s="60">
        <f>D166/1000</f>
        <v>8.199999999999999E-3</v>
      </c>
      <c r="E167" s="60"/>
      <c r="F167" s="60"/>
      <c r="G167" s="60"/>
      <c r="H167" s="29" t="s">
        <v>276</v>
      </c>
    </row>
    <row r="168" spans="1:8" ht="28.8" x14ac:dyDescent="0.3">
      <c r="A168" s="61" t="s">
        <v>178</v>
      </c>
      <c r="B168" s="51">
        <v>122</v>
      </c>
      <c r="C168" s="51">
        <v>2310</v>
      </c>
      <c r="D168" s="51">
        <v>65</v>
      </c>
      <c r="E168" s="86"/>
      <c r="F168" s="86"/>
      <c r="G168" s="86"/>
      <c r="H168" s="29" t="s">
        <v>277</v>
      </c>
    </row>
    <row r="169" spans="1:8" ht="28.8" x14ac:dyDescent="0.3">
      <c r="A169" s="59" t="s">
        <v>143</v>
      </c>
      <c r="B169" s="51">
        <v>0.41136899999999998</v>
      </c>
      <c r="C169" s="51">
        <v>0.743869</v>
      </c>
      <c r="D169" s="51">
        <v>0.44491199999999997</v>
      </c>
      <c r="E169" s="51"/>
      <c r="F169" s="51"/>
      <c r="G169" s="51"/>
      <c r="H169" s="29" t="s">
        <v>113</v>
      </c>
    </row>
    <row r="170" spans="1:8" ht="28.8" x14ac:dyDescent="0.3">
      <c r="A170" s="61" t="s">
        <v>144</v>
      </c>
      <c r="B170" s="89">
        <f>B167*B168*B169</f>
        <v>0.41153354759999999</v>
      </c>
      <c r="C170" s="89">
        <f>C167*C168*C169</f>
        <v>14.090366597999997</v>
      </c>
      <c r="D170" s="90">
        <f>D167*D168*D169</f>
        <v>0.23713809599999994</v>
      </c>
      <c r="E170" s="90"/>
      <c r="F170" s="90"/>
      <c r="G170" s="90"/>
      <c r="H170" s="29" t="s">
        <v>278</v>
      </c>
    </row>
    <row r="171" spans="1:8" ht="14.4" x14ac:dyDescent="0.3">
      <c r="A171" s="38" t="s">
        <v>145</v>
      </c>
      <c r="B171" s="148">
        <f>SUM(B170:D170)</f>
        <v>14.739038241599998</v>
      </c>
      <c r="C171" s="148"/>
      <c r="D171" s="149"/>
      <c r="E171" s="91"/>
      <c r="F171" s="91"/>
      <c r="G171" s="91"/>
      <c r="H171" s="29" t="s">
        <v>279</v>
      </c>
    </row>
    <row r="172" spans="1:8" ht="14.4" x14ac:dyDescent="0.3">
      <c r="A172" s="92"/>
      <c r="B172" s="93"/>
      <c r="C172" s="93"/>
      <c r="D172" s="94"/>
      <c r="E172" s="94"/>
      <c r="F172" s="94"/>
      <c r="G172" s="94"/>
      <c r="H172" s="7"/>
    </row>
    <row r="173" spans="1:8" ht="14.4" x14ac:dyDescent="0.3">
      <c r="A173" s="95" t="s">
        <v>280</v>
      </c>
      <c r="B173" s="7"/>
      <c r="C173" s="7"/>
      <c r="D173" s="66"/>
      <c r="E173" s="66"/>
      <c r="F173" s="66"/>
      <c r="G173" s="66"/>
      <c r="H173" s="7"/>
    </row>
    <row r="174" spans="1:8" ht="14.4" x14ac:dyDescent="0.3">
      <c r="A174" s="96" t="s">
        <v>281</v>
      </c>
      <c r="B174" s="28"/>
      <c r="C174" s="7"/>
      <c r="D174" s="66"/>
      <c r="E174" s="66"/>
      <c r="F174" s="66"/>
      <c r="G174" s="66"/>
      <c r="H174" s="29" t="s">
        <v>282</v>
      </c>
    </row>
    <row r="175" spans="1:8" ht="14.4" x14ac:dyDescent="0.3">
      <c r="A175" s="96" t="s">
        <v>283</v>
      </c>
      <c r="B175" s="28"/>
      <c r="C175" s="7"/>
      <c r="D175" s="66"/>
      <c r="E175" s="66"/>
      <c r="F175" s="66"/>
      <c r="G175" s="66"/>
      <c r="H175" s="7"/>
    </row>
    <row r="176" spans="1:8" ht="14.4" x14ac:dyDescent="0.3">
      <c r="A176" s="96" t="s">
        <v>284</v>
      </c>
      <c r="B176" s="5"/>
      <c r="C176" s="7"/>
      <c r="D176" s="66"/>
      <c r="E176" s="66"/>
      <c r="F176" s="66"/>
      <c r="G176" s="66"/>
      <c r="H176" s="29" t="s">
        <v>285</v>
      </c>
    </row>
    <row r="177" spans="1:14" ht="14.4" x14ac:dyDescent="0.3">
      <c r="A177" s="96" t="s">
        <v>286</v>
      </c>
      <c r="B177" s="97"/>
      <c r="C177" s="7"/>
      <c r="D177" s="66"/>
      <c r="E177" s="66"/>
      <c r="F177" s="66"/>
      <c r="G177" s="66"/>
      <c r="H177" s="29" t="s">
        <v>287</v>
      </c>
    </row>
    <row r="178" spans="1:14" ht="14.4" x14ac:dyDescent="0.3">
      <c r="A178" s="96" t="s">
        <v>288</v>
      </c>
      <c r="B178" s="5"/>
      <c r="C178" s="7"/>
      <c r="D178" s="66"/>
      <c r="E178" s="66"/>
      <c r="F178" s="66"/>
      <c r="G178" s="66"/>
      <c r="H178" s="29" t="s">
        <v>289</v>
      </c>
    </row>
    <row r="179" spans="1:14" ht="14.4" x14ac:dyDescent="0.3">
      <c r="A179" s="96" t="s">
        <v>290</v>
      </c>
      <c r="B179" s="5"/>
      <c r="C179" s="7"/>
      <c r="D179" s="66"/>
      <c r="E179" s="66"/>
      <c r="F179" s="66"/>
      <c r="G179" s="66"/>
      <c r="H179" s="29" t="s">
        <v>291</v>
      </c>
    </row>
    <row r="180" spans="1:14" ht="14.4" x14ac:dyDescent="0.3">
      <c r="A180" s="96"/>
      <c r="B180" s="7"/>
      <c r="C180" s="7"/>
      <c r="D180" s="66"/>
      <c r="E180" s="66"/>
      <c r="F180" s="66"/>
      <c r="G180" s="66"/>
      <c r="H180" s="7"/>
      <c r="J180" t="s">
        <v>50</v>
      </c>
      <c r="K180">
        <v>1500</v>
      </c>
    </row>
    <row r="181" spans="1:14" ht="28.8" x14ac:dyDescent="0.3">
      <c r="A181" s="95" t="s">
        <v>292</v>
      </c>
      <c r="B181" s="98" t="s">
        <v>293</v>
      </c>
      <c r="C181" s="98"/>
      <c r="D181" s="98"/>
      <c r="E181" s="98"/>
      <c r="F181" s="98"/>
      <c r="G181" s="98"/>
      <c r="H181" s="98"/>
      <c r="I181" s="98"/>
      <c r="J181" s="3" t="s">
        <v>294</v>
      </c>
      <c r="K181">
        <v>2</v>
      </c>
    </row>
    <row r="182" spans="1:14" ht="43.2" x14ac:dyDescent="0.3">
      <c r="A182" s="140" t="s">
        <v>399</v>
      </c>
      <c r="B182" s="7">
        <v>1000</v>
      </c>
      <c r="C182" s="99"/>
      <c r="D182" s="100"/>
      <c r="E182" s="100"/>
      <c r="F182" s="100"/>
      <c r="G182" s="100"/>
      <c r="H182" s="29" t="s">
        <v>295</v>
      </c>
      <c r="I182" s="100"/>
      <c r="J182" s="3"/>
    </row>
    <row r="183" spans="1:14" ht="28.8" x14ac:dyDescent="0.3">
      <c r="A183" s="140" t="s">
        <v>400</v>
      </c>
      <c r="B183" s="139">
        <f>B103</f>
        <v>0.3888888888888889</v>
      </c>
      <c r="C183" s="99"/>
      <c r="D183" s="100"/>
      <c r="E183" s="100"/>
      <c r="F183" s="100"/>
      <c r="G183" s="100"/>
      <c r="H183" s="137"/>
      <c r="I183" s="100"/>
      <c r="J183" s="3"/>
    </row>
    <row r="184" spans="1:14" ht="14.4" x14ac:dyDescent="0.3">
      <c r="A184" s="98" t="s">
        <v>398</v>
      </c>
      <c r="B184" s="141">
        <f>B182*B183</f>
        <v>388.88888888888891</v>
      </c>
      <c r="C184" s="99"/>
      <c r="D184" s="100"/>
      <c r="E184" s="100"/>
      <c r="F184" s="100"/>
      <c r="G184" s="100"/>
      <c r="H184" s="137"/>
      <c r="I184" s="100"/>
      <c r="J184" s="3"/>
    </row>
    <row r="185" spans="1:14" ht="14.4" x14ac:dyDescent="0.3">
      <c r="A185" s="98"/>
      <c r="B185" s="98" t="s">
        <v>401</v>
      </c>
      <c r="C185" s="121" t="s">
        <v>58</v>
      </c>
      <c r="D185" s="98" t="s">
        <v>70</v>
      </c>
      <c r="E185" s="99" t="s">
        <v>296</v>
      </c>
      <c r="F185" s="99" t="s">
        <v>297</v>
      </c>
      <c r="G185" s="99"/>
      <c r="H185" s="99"/>
      <c r="I185" s="100"/>
      <c r="J185" s="3"/>
    </row>
    <row r="186" spans="1:14" ht="14.4" x14ac:dyDescent="0.3">
      <c r="A186" s="98" t="s">
        <v>298</v>
      </c>
      <c r="B186" s="7">
        <f>B184*B35</f>
        <v>166.67777777777778</v>
      </c>
      <c r="C186" s="7">
        <f>B184*C35</f>
        <v>63.50555555555556</v>
      </c>
      <c r="D186" s="101">
        <f>B184*D35</f>
        <v>67.472222222222229</v>
      </c>
      <c r="E186" s="101">
        <f>B184*E35</f>
        <v>47.6</v>
      </c>
      <c r="F186" s="101">
        <f>B184*F35</f>
        <v>43.633333333333333</v>
      </c>
      <c r="G186" s="101">
        <f>B182*G35</f>
        <v>0</v>
      </c>
      <c r="H186" s="99"/>
      <c r="I186" s="100"/>
      <c r="J186" s="3"/>
    </row>
    <row r="187" spans="1:14" ht="14.4" x14ac:dyDescent="0.3">
      <c r="A187" s="98" t="s">
        <v>299</v>
      </c>
      <c r="B187" s="7">
        <f>B101</f>
        <v>500</v>
      </c>
      <c r="C187" s="7">
        <f>B101</f>
        <v>500</v>
      </c>
      <c r="D187" s="7">
        <f>B101</f>
        <v>500</v>
      </c>
      <c r="E187" s="7">
        <f>B101</f>
        <v>500</v>
      </c>
      <c r="F187" s="7">
        <f>B101</f>
        <v>500</v>
      </c>
      <c r="G187" s="7">
        <f>B101</f>
        <v>500</v>
      </c>
      <c r="H187" s="29" t="s">
        <v>300</v>
      </c>
      <c r="I187" s="66"/>
      <c r="J187" s="3"/>
    </row>
    <row r="188" spans="1:14" ht="14.4" x14ac:dyDescent="0.3">
      <c r="A188" s="98" t="s">
        <v>301</v>
      </c>
      <c r="B188" s="7">
        <f t="shared" ref="B188:G188" si="7">B186/B187</f>
        <v>0.33335555555555557</v>
      </c>
      <c r="C188" s="7">
        <f t="shared" si="7"/>
        <v>0.12701111111111113</v>
      </c>
      <c r="D188" s="7">
        <f t="shared" si="7"/>
        <v>0.13494444444444445</v>
      </c>
      <c r="E188" s="7">
        <f t="shared" si="7"/>
        <v>9.5200000000000007E-2</v>
      </c>
      <c r="F188" s="7">
        <f t="shared" si="7"/>
        <v>8.7266666666666659E-2</v>
      </c>
      <c r="G188" s="7">
        <f t="shared" si="7"/>
        <v>0</v>
      </c>
      <c r="H188" s="29" t="s">
        <v>302</v>
      </c>
      <c r="I188" s="66"/>
      <c r="J188" s="3"/>
    </row>
    <row r="189" spans="1:14" ht="28.8" x14ac:dyDescent="0.3">
      <c r="A189" s="8" t="s">
        <v>62</v>
      </c>
      <c r="B189" s="28" t="s">
        <v>303</v>
      </c>
      <c r="C189" s="28" t="s">
        <v>303</v>
      </c>
      <c r="D189" s="28" t="s">
        <v>303</v>
      </c>
      <c r="E189" s="28" t="s">
        <v>303</v>
      </c>
      <c r="F189" s="28" t="s">
        <v>303</v>
      </c>
      <c r="G189" s="102"/>
      <c r="H189" s="29" t="s">
        <v>304</v>
      </c>
      <c r="J189" s="3" t="s">
        <v>305</v>
      </c>
      <c r="K189" s="37">
        <v>500</v>
      </c>
    </row>
    <row r="190" spans="1:14" ht="14.4" x14ac:dyDescent="0.3">
      <c r="A190" s="8" t="s">
        <v>67</v>
      </c>
      <c r="B190" s="28" t="s">
        <v>345</v>
      </c>
      <c r="C190" s="28" t="s">
        <v>306</v>
      </c>
      <c r="D190" s="28" t="s">
        <v>306</v>
      </c>
      <c r="E190" s="28" t="s">
        <v>306</v>
      </c>
      <c r="F190" s="28" t="s">
        <v>306</v>
      </c>
      <c r="G190" s="102"/>
      <c r="H190" s="7"/>
      <c r="K190" t="s">
        <v>307</v>
      </c>
      <c r="L190" t="s">
        <v>308</v>
      </c>
      <c r="M190" t="s">
        <v>309</v>
      </c>
    </row>
    <row r="191" spans="1:14" ht="14.4" x14ac:dyDescent="0.3">
      <c r="A191" s="8" t="s">
        <v>73</v>
      </c>
      <c r="B191" s="28" t="s">
        <v>412</v>
      </c>
      <c r="C191" s="28" t="s">
        <v>402</v>
      </c>
      <c r="D191" s="28" t="s">
        <v>310</v>
      </c>
      <c r="E191" s="28" t="s">
        <v>414</v>
      </c>
      <c r="F191" s="28" t="s">
        <v>416</v>
      </c>
      <c r="G191" s="102"/>
      <c r="H191" s="7"/>
      <c r="K191">
        <f>K189*B35</f>
        <v>214.29999999999998</v>
      </c>
      <c r="L191">
        <f>K189*C35</f>
        <v>81.650000000000006</v>
      </c>
      <c r="M191">
        <f>K189*D35</f>
        <v>86.75</v>
      </c>
      <c r="N191" t="s">
        <v>311</v>
      </c>
    </row>
    <row r="192" spans="1:14" ht="28.8" x14ac:dyDescent="0.3">
      <c r="A192" s="8" t="s">
        <v>78</v>
      </c>
      <c r="B192" s="28" t="s">
        <v>413</v>
      </c>
      <c r="C192" s="28" t="s">
        <v>403</v>
      </c>
      <c r="D192" s="28" t="s">
        <v>312</v>
      </c>
      <c r="E192" s="28" t="s">
        <v>415</v>
      </c>
      <c r="F192" s="28" t="s">
        <v>417</v>
      </c>
      <c r="G192" s="102"/>
      <c r="H192" s="7"/>
      <c r="J192" s="3" t="s">
        <v>313</v>
      </c>
      <c r="K192" s="103">
        <f>K191/K180</f>
        <v>0.14286666666666664</v>
      </c>
      <c r="L192">
        <f>L191/K180</f>
        <v>5.4433333333333341E-2</v>
      </c>
      <c r="M192" s="103">
        <f>M191/K180</f>
        <v>5.7833333333333334E-2</v>
      </c>
      <c r="N192" t="s">
        <v>311</v>
      </c>
    </row>
    <row r="193" spans="1:12" ht="28.8" x14ac:dyDescent="0.3">
      <c r="A193" s="104" t="s">
        <v>314</v>
      </c>
      <c r="B193" s="89">
        <f>B188</f>
        <v>0.33335555555555557</v>
      </c>
      <c r="C193" s="89">
        <f>C188</f>
        <v>0.12701111111111113</v>
      </c>
      <c r="D193" s="89">
        <f>D188</f>
        <v>0.13494444444444445</v>
      </c>
      <c r="E193" s="89">
        <f>E188</f>
        <v>9.5200000000000007E-2</v>
      </c>
      <c r="F193" s="89">
        <f>F188</f>
        <v>8.7266666666666659E-2</v>
      </c>
      <c r="G193" s="102"/>
      <c r="H193" s="29" t="s">
        <v>315</v>
      </c>
      <c r="J193" s="3" t="s">
        <v>316</v>
      </c>
      <c r="K193" s="103">
        <f>SUM(K192:M192)</f>
        <v>0.25513333333333332</v>
      </c>
      <c r="L193" t="s">
        <v>317</v>
      </c>
    </row>
    <row r="194" spans="1:12" ht="28.8" x14ac:dyDescent="0.3">
      <c r="A194" s="105" t="s">
        <v>318</v>
      </c>
      <c r="B194" s="89">
        <v>3.030951</v>
      </c>
      <c r="C194" s="89">
        <v>3.343378</v>
      </c>
      <c r="D194" s="89">
        <v>5.1120000000000002E-3</v>
      </c>
      <c r="E194" s="89">
        <v>2.9167510000000001</v>
      </c>
      <c r="F194" s="89">
        <v>2.6353070000000001</v>
      </c>
      <c r="G194" s="102"/>
      <c r="H194" s="29" t="s">
        <v>113</v>
      </c>
    </row>
    <row r="195" spans="1:12" ht="14.4" x14ac:dyDescent="0.3">
      <c r="A195" s="105"/>
      <c r="B195" s="85">
        <f>B193*B194</f>
        <v>1.0103843544666666</v>
      </c>
      <c r="C195" s="85">
        <f>C193*C194</f>
        <v>0.4246461546444445</v>
      </c>
      <c r="D195" s="89">
        <f>D193*D194</f>
        <v>6.8983600000000009E-4</v>
      </c>
      <c r="E195" s="89">
        <f>E193*E194</f>
        <v>0.27767469520000004</v>
      </c>
      <c r="F195" s="89">
        <f>F193*F194</f>
        <v>0.22997445753333332</v>
      </c>
      <c r="G195" s="102"/>
      <c r="H195" s="29"/>
    </row>
    <row r="196" spans="1:12" ht="14.4" x14ac:dyDescent="0.3">
      <c r="A196" s="104" t="s">
        <v>319</v>
      </c>
      <c r="B196" s="138">
        <f>SUM(B195:F195)</f>
        <v>1.9433694978444445</v>
      </c>
      <c r="C196" s="37"/>
      <c r="D196" s="102"/>
      <c r="E196" s="102"/>
      <c r="F196" s="102"/>
      <c r="G196" s="102"/>
      <c r="H196" s="7"/>
      <c r="J196" s="3"/>
    </row>
    <row r="197" spans="1:12" ht="14.4" x14ac:dyDescent="0.3">
      <c r="A197" s="98" t="s">
        <v>320</v>
      </c>
      <c r="B197" s="139"/>
      <c r="C197" s="37"/>
      <c r="D197" s="102"/>
      <c r="E197" s="102"/>
      <c r="F197" s="102"/>
      <c r="G197" s="102"/>
      <c r="H197" s="7"/>
    </row>
    <row r="198" spans="1:12" ht="43.2" x14ac:dyDescent="0.3">
      <c r="A198" s="140" t="s">
        <v>399</v>
      </c>
      <c r="B198" s="139">
        <v>0.1111</v>
      </c>
      <c r="C198" s="37"/>
      <c r="D198" s="102"/>
      <c r="E198" s="102"/>
      <c r="F198" s="102"/>
      <c r="G198" s="102"/>
      <c r="H198" s="7"/>
    </row>
    <row r="199" spans="1:12" ht="14.4" x14ac:dyDescent="0.3">
      <c r="A199" s="140" t="s">
        <v>404</v>
      </c>
      <c r="B199" s="141">
        <f>B100*B198</f>
        <v>999.90000000000009</v>
      </c>
      <c r="C199" s="37"/>
      <c r="D199" s="102"/>
      <c r="E199" s="102"/>
      <c r="F199" s="102"/>
      <c r="G199" s="102"/>
      <c r="H199" s="7"/>
    </row>
    <row r="200" spans="1:12" ht="28.8" x14ac:dyDescent="0.3">
      <c r="A200" s="140" t="s">
        <v>400</v>
      </c>
      <c r="B200" s="139">
        <f>B103</f>
        <v>0.3888888888888889</v>
      </c>
      <c r="C200" s="37"/>
      <c r="D200" s="102"/>
      <c r="E200" s="102"/>
      <c r="F200" s="102"/>
      <c r="G200" s="102"/>
      <c r="H200" s="7"/>
    </row>
    <row r="201" spans="1:12" ht="14.4" x14ac:dyDescent="0.3">
      <c r="A201" s="142" t="s">
        <v>321</v>
      </c>
      <c r="B201" s="141">
        <f>B199*B200</f>
        <v>388.85</v>
      </c>
      <c r="C201" s="37"/>
      <c r="D201" s="102"/>
      <c r="E201" s="102"/>
      <c r="F201" s="102"/>
      <c r="G201" s="102"/>
      <c r="H201" s="7"/>
    </row>
    <row r="202" spans="1:12" ht="14.4" x14ac:dyDescent="0.3">
      <c r="A202" s="105"/>
      <c r="B202" s="98" t="s">
        <v>401</v>
      </c>
      <c r="C202" s="143" t="s">
        <v>58</v>
      </c>
      <c r="D202" s="98" t="s">
        <v>70</v>
      </c>
      <c r="E202" s="99" t="s">
        <v>296</v>
      </c>
      <c r="F202" s="99" t="s">
        <v>297</v>
      </c>
      <c r="G202" s="102"/>
      <c r="H202" s="7"/>
    </row>
    <row r="203" spans="1:12" ht="14.4" x14ac:dyDescent="0.3">
      <c r="A203" s="105"/>
      <c r="B203" s="7">
        <f>B201*B35</f>
        <v>166.66111000000001</v>
      </c>
      <c r="C203" s="102">
        <f>B201*C35</f>
        <v>63.499205000000003</v>
      </c>
      <c r="D203" s="66">
        <f>B201*D35</f>
        <v>67.465474999999998</v>
      </c>
      <c r="E203" s="66">
        <f>B201*E35</f>
        <v>47.595240000000004</v>
      </c>
      <c r="F203" s="66">
        <f>B201*F35</f>
        <v>43.628970000000002</v>
      </c>
      <c r="G203" s="102"/>
      <c r="H203" s="7"/>
    </row>
    <row r="204" spans="1:12" ht="14.4" x14ac:dyDescent="0.3">
      <c r="A204" s="142" t="s">
        <v>406</v>
      </c>
      <c r="B204" s="7">
        <f>B101</f>
        <v>500</v>
      </c>
      <c r="C204" s="102">
        <f>B101</f>
        <v>500</v>
      </c>
      <c r="D204" s="66">
        <f>B101</f>
        <v>500</v>
      </c>
      <c r="E204" s="66">
        <f>B101</f>
        <v>500</v>
      </c>
      <c r="F204" s="66">
        <f>B101</f>
        <v>500</v>
      </c>
      <c r="G204" s="102"/>
      <c r="H204" s="7"/>
    </row>
    <row r="205" spans="1:12" ht="14.4" x14ac:dyDescent="0.3">
      <c r="A205" s="142" t="s">
        <v>322</v>
      </c>
      <c r="B205" s="7">
        <f>B203/B204</f>
        <v>0.33332222</v>
      </c>
      <c r="C205">
        <f>C203/C204</f>
        <v>0.12699841000000001</v>
      </c>
      <c r="D205" s="66">
        <f>D203/D204</f>
        <v>0.13493094999999999</v>
      </c>
      <c r="E205" s="66">
        <f>E203/E204</f>
        <v>9.5190480000000008E-2</v>
      </c>
      <c r="F205" s="66">
        <f>F203/F204</f>
        <v>8.7257940000000006E-2</v>
      </c>
      <c r="G205" s="102"/>
      <c r="H205" s="7"/>
    </row>
    <row r="206" spans="1:12" ht="14.4" x14ac:dyDescent="0.3">
      <c r="A206" s="8" t="s">
        <v>62</v>
      </c>
      <c r="B206" s="28" t="s">
        <v>303</v>
      </c>
      <c r="C206" s="28" t="s">
        <v>303</v>
      </c>
      <c r="D206" s="28" t="s">
        <v>303</v>
      </c>
      <c r="E206" s="28" t="s">
        <v>303</v>
      </c>
      <c r="F206" s="28" t="s">
        <v>303</v>
      </c>
      <c r="G206" s="102"/>
      <c r="H206" s="7"/>
    </row>
    <row r="207" spans="1:12" ht="14.4" x14ac:dyDescent="0.3">
      <c r="A207" s="8" t="s">
        <v>67</v>
      </c>
      <c r="B207" s="28" t="s">
        <v>345</v>
      </c>
      <c r="C207" s="28" t="s">
        <v>306</v>
      </c>
      <c r="D207" s="28" t="s">
        <v>306</v>
      </c>
      <c r="E207" s="28" t="s">
        <v>306</v>
      </c>
      <c r="F207" s="28" t="s">
        <v>306</v>
      </c>
      <c r="G207" s="102"/>
      <c r="H207" s="7"/>
    </row>
    <row r="208" spans="1:12" ht="14.4" x14ac:dyDescent="0.3">
      <c r="A208" s="8" t="s">
        <v>73</v>
      </c>
      <c r="B208" s="28" t="s">
        <v>412</v>
      </c>
      <c r="C208" s="28" t="s">
        <v>402</v>
      </c>
      <c r="D208" s="28" t="s">
        <v>310</v>
      </c>
      <c r="E208" s="28" t="s">
        <v>414</v>
      </c>
      <c r="F208" s="28" t="s">
        <v>416</v>
      </c>
      <c r="G208" s="102"/>
      <c r="H208" s="7"/>
    </row>
    <row r="209" spans="1:22" ht="14.4" x14ac:dyDescent="0.3">
      <c r="A209" s="8" t="s">
        <v>78</v>
      </c>
      <c r="B209" s="28" t="s">
        <v>413</v>
      </c>
      <c r="C209" s="28" t="s">
        <v>403</v>
      </c>
      <c r="D209" s="28" t="s">
        <v>312</v>
      </c>
      <c r="E209" s="28" t="s">
        <v>415</v>
      </c>
      <c r="F209" s="28" t="s">
        <v>417</v>
      </c>
      <c r="G209" s="102"/>
      <c r="H209" s="7"/>
    </row>
    <row r="210" spans="1:22" ht="14.4" x14ac:dyDescent="0.3">
      <c r="A210" s="105" t="s">
        <v>405</v>
      </c>
      <c r="B210" s="89">
        <f>B205</f>
        <v>0.33332222</v>
      </c>
      <c r="C210" s="89">
        <f>C205</f>
        <v>0.12699841000000001</v>
      </c>
      <c r="D210" s="89">
        <f>D205</f>
        <v>0.13493094999999999</v>
      </c>
      <c r="E210" s="89">
        <f>E205</f>
        <v>9.5190480000000008E-2</v>
      </c>
      <c r="F210" s="89">
        <f>F205</f>
        <v>8.7257940000000006E-2</v>
      </c>
      <c r="G210" s="102"/>
      <c r="H210" s="7"/>
    </row>
    <row r="211" spans="1:22" ht="14.4" x14ac:dyDescent="0.3">
      <c r="A211" s="105" t="s">
        <v>318</v>
      </c>
      <c r="B211" s="89">
        <v>3.030951</v>
      </c>
      <c r="C211" s="89">
        <v>3.343378</v>
      </c>
      <c r="D211" s="89">
        <v>5.1120000000000002E-3</v>
      </c>
      <c r="E211" s="89">
        <v>2.9167510000000001</v>
      </c>
      <c r="F211" s="89">
        <v>2.6353070000000001</v>
      </c>
      <c r="G211" s="102"/>
      <c r="H211" s="7"/>
    </row>
    <row r="212" spans="1:22" ht="14.4" x14ac:dyDescent="0.3">
      <c r="A212" s="105"/>
      <c r="B212" s="89">
        <f>B210*B211</f>
        <v>1.0102833160312199</v>
      </c>
      <c r="C212" s="89">
        <f>C210*C211</f>
        <v>0.42460369002898002</v>
      </c>
      <c r="D212" s="89">
        <f>D210*D211</f>
        <v>6.8976701640000005E-4</v>
      </c>
      <c r="E212" s="89">
        <f>E210*E211</f>
        <v>0.27764692773048005</v>
      </c>
      <c r="F212" s="89">
        <f>F210*F211</f>
        <v>0.22995146008758002</v>
      </c>
      <c r="G212" s="102"/>
      <c r="H212" s="7"/>
    </row>
    <row r="213" spans="1:22" ht="14.4" x14ac:dyDescent="0.3">
      <c r="A213" s="104" t="s">
        <v>324</v>
      </c>
      <c r="B213" s="138">
        <f>SUM(B212:F212)</f>
        <v>1.9431751608946599</v>
      </c>
      <c r="C213" s="37"/>
      <c r="D213" s="102"/>
      <c r="E213" s="102"/>
      <c r="F213" s="102"/>
      <c r="G213" s="102"/>
      <c r="H213" s="7"/>
    </row>
    <row r="214" spans="1:22" ht="14.4" x14ac:dyDescent="0.3">
      <c r="A214" s="105"/>
      <c r="B214" s="108"/>
      <c r="C214" s="37"/>
      <c r="D214" s="102"/>
      <c r="E214" s="102"/>
      <c r="F214" s="102"/>
      <c r="G214" s="102"/>
      <c r="H214" s="7"/>
    </row>
    <row r="215" spans="1:22" ht="14.4" x14ac:dyDescent="0.3">
      <c r="A215" s="95" t="s">
        <v>325</v>
      </c>
      <c r="B215" s="108"/>
      <c r="C215" s="37"/>
      <c r="D215" s="102"/>
      <c r="E215" s="102"/>
      <c r="F215" s="102"/>
      <c r="G215" s="102"/>
      <c r="H215" s="7"/>
      <c r="K215" s="3"/>
      <c r="L215" t="s">
        <v>326</v>
      </c>
      <c r="M215" t="s">
        <v>323</v>
      </c>
    </row>
    <row r="216" spans="1:22" ht="14.4" x14ac:dyDescent="0.3">
      <c r="A216" s="8" t="s">
        <v>62</v>
      </c>
      <c r="B216" s="28" t="s">
        <v>124</v>
      </c>
      <c r="C216" s="37"/>
      <c r="D216" s="102"/>
      <c r="E216" s="102"/>
      <c r="F216" s="102"/>
      <c r="G216" s="102"/>
      <c r="H216" s="29" t="s">
        <v>327</v>
      </c>
      <c r="K216" s="109"/>
      <c r="L216">
        <f>1/(1-33%)</f>
        <v>1.4925373134328359</v>
      </c>
      <c r="M216">
        <v>2.9</v>
      </c>
      <c r="N216">
        <f>K216*L216*M216</f>
        <v>0</v>
      </c>
    </row>
    <row r="217" spans="1:22" ht="14.4" x14ac:dyDescent="0.3">
      <c r="A217" s="8" t="s">
        <v>67</v>
      </c>
      <c r="B217" s="28" t="s">
        <v>127</v>
      </c>
      <c r="C217" s="37"/>
      <c r="D217" s="102"/>
      <c r="E217" s="102"/>
      <c r="F217" s="102"/>
      <c r="G217" s="102"/>
      <c r="H217" s="7"/>
      <c r="J217" s="3" t="s">
        <v>328</v>
      </c>
      <c r="K217">
        <f>B36+K192</f>
        <v>3.1430666666666665</v>
      </c>
      <c r="L217">
        <f>C36+L192</f>
        <v>1.1975333333333333</v>
      </c>
      <c r="M217">
        <f>D36+M192</f>
        <v>1.2723333333333333</v>
      </c>
    </row>
    <row r="218" spans="1:22" ht="14.4" x14ac:dyDescent="0.3">
      <c r="A218" s="8" t="s">
        <v>73</v>
      </c>
      <c r="B218" s="28" t="s">
        <v>131</v>
      </c>
      <c r="C218" s="37"/>
      <c r="D218" s="102"/>
      <c r="E218" s="102"/>
      <c r="F218" s="102"/>
      <c r="G218" s="102"/>
      <c r="H218" s="7"/>
      <c r="J218" t="s">
        <v>326</v>
      </c>
      <c r="K218">
        <f>1/(1-33%)</f>
        <v>1.4925373134328359</v>
      </c>
      <c r="L218">
        <f>1/(1-33%)</f>
        <v>1.4925373134328359</v>
      </c>
      <c r="M218">
        <f>1/(1-33%)</f>
        <v>1.4925373134328359</v>
      </c>
    </row>
    <row r="219" spans="1:22" ht="14.4" x14ac:dyDescent="0.3">
      <c r="A219" s="8" t="s">
        <v>78</v>
      </c>
      <c r="B219" s="28" t="s">
        <v>135</v>
      </c>
      <c r="C219" s="37"/>
      <c r="D219" s="102"/>
      <c r="E219" s="102"/>
      <c r="F219" s="102"/>
      <c r="G219" s="102"/>
      <c r="H219" s="7"/>
      <c r="J219" t="s">
        <v>323</v>
      </c>
      <c r="K219" s="33">
        <v>0.29453000000000001</v>
      </c>
      <c r="L219" s="33">
        <v>2.866088</v>
      </c>
      <c r="M219" s="33">
        <v>2.2366130000000002</v>
      </c>
    </row>
    <row r="220" spans="1:22" ht="43.2" x14ac:dyDescent="0.3">
      <c r="A220" s="59" t="s">
        <v>172</v>
      </c>
      <c r="B220" s="37" t="s">
        <v>384</v>
      </c>
      <c r="C220" s="37"/>
      <c r="D220" s="102"/>
      <c r="E220" s="102"/>
      <c r="F220" s="102"/>
      <c r="G220" s="102"/>
      <c r="H220" s="7"/>
      <c r="J220" t="s">
        <v>329</v>
      </c>
      <c r="K220">
        <f>K217*K218*K219</f>
        <v>1.3816827243781096</v>
      </c>
      <c r="L220">
        <f>L217*L218*L219</f>
        <v>5.1227401735323381</v>
      </c>
      <c r="M220">
        <f>M217*M218*M219</f>
        <v>4.2473392144278614</v>
      </c>
    </row>
    <row r="221" spans="1:22" ht="28.8" x14ac:dyDescent="0.3">
      <c r="A221" s="59" t="s">
        <v>174</v>
      </c>
      <c r="B221" s="37" t="s">
        <v>391</v>
      </c>
      <c r="C221" s="37"/>
      <c r="D221" s="102"/>
      <c r="E221" s="102"/>
      <c r="F221" s="102"/>
      <c r="G221" s="102"/>
      <c r="H221" s="7"/>
    </row>
    <row r="222" spans="1:22" ht="26.25" customHeight="1" x14ac:dyDescent="0.3">
      <c r="A222" s="110" t="s">
        <v>175</v>
      </c>
      <c r="B222" s="108"/>
      <c r="C222" s="37"/>
      <c r="D222" s="102"/>
      <c r="E222" s="102"/>
      <c r="F222" s="102"/>
      <c r="G222" s="102"/>
      <c r="H222" s="7"/>
    </row>
    <row r="223" spans="1:22" ht="75" customHeight="1" x14ac:dyDescent="0.3">
      <c r="A223" s="111" t="s">
        <v>274</v>
      </c>
      <c r="B223" s="112">
        <v>1.9</v>
      </c>
      <c r="C223" s="37"/>
      <c r="D223" s="102"/>
      <c r="E223" s="102"/>
      <c r="F223" s="102"/>
      <c r="G223" s="102"/>
      <c r="H223" s="7"/>
      <c r="J223" s="3" t="s">
        <v>330</v>
      </c>
      <c r="K223">
        <v>10000</v>
      </c>
      <c r="L223" t="s">
        <v>50</v>
      </c>
      <c r="M223" s="3" t="s">
        <v>331</v>
      </c>
      <c r="N223" s="3" t="s">
        <v>332</v>
      </c>
      <c r="O223" s="3" t="s">
        <v>333</v>
      </c>
      <c r="P223" s="3" t="s">
        <v>334</v>
      </c>
      <c r="Q223" s="3" t="s">
        <v>335</v>
      </c>
      <c r="S223" s="3" t="s">
        <v>336</v>
      </c>
      <c r="T223" s="3" t="s">
        <v>333</v>
      </c>
      <c r="U223" s="3" t="s">
        <v>334</v>
      </c>
      <c r="V223" s="3" t="s">
        <v>335</v>
      </c>
    </row>
    <row r="224" spans="1:22" ht="28.8" x14ac:dyDescent="0.3">
      <c r="A224" s="113" t="s">
        <v>177</v>
      </c>
      <c r="B224" s="85">
        <f>B223/1000</f>
        <v>1.9E-3</v>
      </c>
      <c r="C224" s="37"/>
      <c r="D224" s="102"/>
      <c r="E224" s="102"/>
      <c r="F224" s="102"/>
      <c r="G224" s="102"/>
      <c r="H224" s="29" t="s">
        <v>276</v>
      </c>
      <c r="J224" t="s">
        <v>337</v>
      </c>
      <c r="K224">
        <v>1.2</v>
      </c>
      <c r="L224">
        <v>2000</v>
      </c>
      <c r="M224">
        <f>K224*L224</f>
        <v>2400</v>
      </c>
      <c r="N224" s="103">
        <f>(M224/M227)*100%</f>
        <v>0.30379746835443039</v>
      </c>
      <c r="O224">
        <f>N224*K223</f>
        <v>3037.9746835443038</v>
      </c>
      <c r="P224">
        <f>O224/L224</f>
        <v>1.518987341772152</v>
      </c>
      <c r="Q224">
        <f>P224+K224</f>
        <v>2.7189873417721522</v>
      </c>
      <c r="S224" s="114">
        <v>0.05</v>
      </c>
      <c r="T224">
        <f>M224*S224</f>
        <v>120</v>
      </c>
      <c r="U224">
        <f>T224/L224</f>
        <v>0.06</v>
      </c>
      <c r="V224">
        <f>K224+U224</f>
        <v>1.26</v>
      </c>
    </row>
    <row r="225" spans="1:22" ht="28.8" x14ac:dyDescent="0.3">
      <c r="A225" s="61" t="s">
        <v>178</v>
      </c>
      <c r="B225" s="85">
        <v>35</v>
      </c>
      <c r="C225" s="37"/>
      <c r="D225" s="102"/>
      <c r="E225" s="102"/>
      <c r="F225" s="102"/>
      <c r="G225" s="102"/>
      <c r="H225" s="29" t="s">
        <v>338</v>
      </c>
      <c r="J225" t="s">
        <v>339</v>
      </c>
      <c r="K225">
        <v>2</v>
      </c>
      <c r="L225">
        <v>1500</v>
      </c>
      <c r="M225">
        <f>K225*L225</f>
        <v>3000</v>
      </c>
      <c r="N225" s="103">
        <f>(M225/M227)*100%</f>
        <v>0.379746835443038</v>
      </c>
      <c r="O225">
        <f>N225*K223</f>
        <v>3797.4683544303798</v>
      </c>
      <c r="P225">
        <f>O225/L225</f>
        <v>2.5316455696202533</v>
      </c>
      <c r="Q225">
        <f>P225+K225</f>
        <v>4.5316455696202533</v>
      </c>
      <c r="S225" s="114">
        <v>0.05</v>
      </c>
      <c r="T225">
        <f>M225*S225</f>
        <v>150</v>
      </c>
      <c r="U225">
        <f>T225/L225</f>
        <v>0.1</v>
      </c>
      <c r="V225">
        <f>K225+U225</f>
        <v>2.1</v>
      </c>
    </row>
    <row r="226" spans="1:22" ht="28.8" x14ac:dyDescent="0.3">
      <c r="A226" s="59" t="s">
        <v>143</v>
      </c>
      <c r="B226" s="85">
        <v>1.246661</v>
      </c>
      <c r="C226" s="37"/>
      <c r="D226" s="102"/>
      <c r="E226" s="102"/>
      <c r="F226" s="102"/>
      <c r="G226" s="102"/>
      <c r="H226" s="29" t="s">
        <v>113</v>
      </c>
      <c r="J226" t="s">
        <v>340</v>
      </c>
      <c r="K226">
        <v>2.5</v>
      </c>
      <c r="L226">
        <v>1000</v>
      </c>
      <c r="M226">
        <f>K226*L226</f>
        <v>2500</v>
      </c>
      <c r="N226" s="103">
        <f>(M226/M227)*100%</f>
        <v>0.31645569620253167</v>
      </c>
      <c r="O226">
        <f>N226*K223</f>
        <v>3164.5569620253168</v>
      </c>
      <c r="P226">
        <f>O226/L226</f>
        <v>3.1645569620253169</v>
      </c>
      <c r="Q226">
        <f>P226+K226</f>
        <v>5.6645569620253173</v>
      </c>
      <c r="S226" s="114">
        <v>0.05</v>
      </c>
      <c r="T226">
        <f>M226*S226</f>
        <v>125</v>
      </c>
      <c r="U226">
        <f>T226/L226</f>
        <v>0.125</v>
      </c>
      <c r="V226">
        <f>K226+U226</f>
        <v>2.625</v>
      </c>
    </row>
    <row r="227" spans="1:22" ht="43.2" x14ac:dyDescent="0.3">
      <c r="A227" s="61" t="s">
        <v>144</v>
      </c>
      <c r="B227" s="85">
        <f>B224*B225*B226</f>
        <v>8.29029565E-2</v>
      </c>
      <c r="C227" s="37"/>
      <c r="D227" s="102"/>
      <c r="E227" s="102"/>
      <c r="F227" s="102"/>
      <c r="G227" s="102"/>
      <c r="H227" s="7"/>
      <c r="L227" s="3" t="s">
        <v>341</v>
      </c>
      <c r="M227">
        <f>SUM(M224:M226)</f>
        <v>7900</v>
      </c>
      <c r="O227">
        <f>SUM(O224:O226)</f>
        <v>10000</v>
      </c>
      <c r="T227">
        <f>SUM(T224:T226)</f>
        <v>395</v>
      </c>
    </row>
    <row r="228" spans="1:22" ht="28.8" x14ac:dyDescent="0.3">
      <c r="A228" s="38" t="s">
        <v>342</v>
      </c>
      <c r="B228" s="85">
        <f>B227</f>
        <v>8.29029565E-2</v>
      </c>
      <c r="C228" s="37"/>
      <c r="D228" s="102"/>
      <c r="E228" s="102"/>
      <c r="F228" s="102"/>
      <c r="G228" s="102"/>
      <c r="H228" s="29" t="s">
        <v>278</v>
      </c>
    </row>
    <row r="229" spans="1:22" ht="14.4" x14ac:dyDescent="0.3">
      <c r="A229" s="61"/>
      <c r="B229" s="108"/>
      <c r="C229" s="37"/>
      <c r="D229" s="102"/>
      <c r="E229" s="102"/>
      <c r="F229" s="102"/>
      <c r="G229" s="102"/>
      <c r="H229" s="7"/>
    </row>
    <row r="230" spans="1:22" ht="14.4" x14ac:dyDescent="0.3">
      <c r="A230" s="95" t="s">
        <v>343</v>
      </c>
      <c r="B230" s="108"/>
      <c r="C230" s="37"/>
      <c r="D230" s="102"/>
      <c r="E230" s="102"/>
      <c r="F230" s="102"/>
      <c r="G230" s="102"/>
      <c r="H230" s="7"/>
    </row>
    <row r="231" spans="1:22" ht="14.4" x14ac:dyDescent="0.3">
      <c r="A231" s="37"/>
      <c r="B231" s="108"/>
      <c r="C231" s="37"/>
      <c r="D231" s="102"/>
      <c r="E231" s="102"/>
      <c r="F231" s="102"/>
      <c r="G231" s="102"/>
      <c r="H231" s="7"/>
    </row>
    <row r="232" spans="1:22" ht="14.4" x14ac:dyDescent="0.3">
      <c r="A232" s="8" t="s">
        <v>62</v>
      </c>
      <c r="B232" s="28" t="s">
        <v>303</v>
      </c>
      <c r="C232" s="37"/>
      <c r="D232" s="102"/>
      <c r="E232" s="102"/>
      <c r="F232" s="102"/>
      <c r="G232" s="102"/>
      <c r="H232" s="29" t="s">
        <v>344</v>
      </c>
    </row>
    <row r="233" spans="1:22" ht="14.4" x14ac:dyDescent="0.3">
      <c r="A233" s="8" t="s">
        <v>67</v>
      </c>
      <c r="B233" s="28" t="s">
        <v>345</v>
      </c>
      <c r="C233" s="37"/>
      <c r="D233" s="102"/>
      <c r="E233" s="102"/>
      <c r="F233" s="102"/>
      <c r="G233" s="102"/>
      <c r="H233" s="7"/>
    </row>
    <row r="234" spans="1:22" ht="14.4" x14ac:dyDescent="0.3">
      <c r="A234" s="8" t="s">
        <v>73</v>
      </c>
      <c r="B234" s="28" t="s">
        <v>346</v>
      </c>
      <c r="C234" s="37"/>
      <c r="D234" s="102"/>
      <c r="E234" s="102"/>
      <c r="F234" s="102"/>
      <c r="G234" s="102"/>
      <c r="H234" s="7"/>
    </row>
    <row r="235" spans="1:22" ht="14.4" x14ac:dyDescent="0.3">
      <c r="A235" s="8" t="s">
        <v>78</v>
      </c>
      <c r="B235" s="28" t="s">
        <v>347</v>
      </c>
      <c r="C235" s="37"/>
      <c r="D235" s="102"/>
      <c r="E235" s="102"/>
      <c r="F235" s="102"/>
      <c r="G235" s="102"/>
      <c r="H235" s="7"/>
    </row>
    <row r="236" spans="1:22" ht="14.4" x14ac:dyDescent="0.3">
      <c r="A236" s="115" t="s">
        <v>348</v>
      </c>
      <c r="B236" s="85">
        <f>B72*10%</f>
        <v>0.12</v>
      </c>
      <c r="C236" s="37"/>
      <c r="D236" s="102"/>
      <c r="E236" s="102"/>
      <c r="F236" s="102"/>
      <c r="G236" s="102"/>
      <c r="H236" s="29" t="s">
        <v>349</v>
      </c>
    </row>
    <row r="237" spans="1:22" ht="28.8" x14ac:dyDescent="0.3">
      <c r="A237" s="105" t="s">
        <v>350</v>
      </c>
      <c r="B237" s="85">
        <v>3.4335999999999998E-2</v>
      </c>
      <c r="C237" s="37"/>
      <c r="D237" s="102"/>
      <c r="E237" s="102"/>
      <c r="F237" s="102"/>
      <c r="G237" s="102"/>
      <c r="H237" s="29" t="s">
        <v>113</v>
      </c>
    </row>
    <row r="238" spans="1:22" ht="28.8" x14ac:dyDescent="0.3">
      <c r="A238" s="104" t="s">
        <v>351</v>
      </c>
      <c r="B238" s="145">
        <f>B236*B237</f>
        <v>4.1203199999999994E-3</v>
      </c>
      <c r="C238" s="145"/>
      <c r="D238" s="146"/>
      <c r="E238" s="58"/>
      <c r="F238" s="58"/>
      <c r="G238" s="58"/>
      <c r="H238" s="29" t="s">
        <v>352</v>
      </c>
    </row>
    <row r="239" spans="1:22" ht="14.4" x14ac:dyDescent="0.3">
      <c r="A239" s="96"/>
      <c r="B239" s="7"/>
      <c r="C239" s="7"/>
      <c r="D239" s="66"/>
      <c r="E239" s="66"/>
      <c r="F239" s="66"/>
      <c r="G239" s="66"/>
      <c r="H239" s="7"/>
    </row>
    <row r="240" spans="1:22" ht="14.4" x14ac:dyDescent="0.3">
      <c r="A240" s="95" t="s">
        <v>353</v>
      </c>
    </row>
    <row r="241" spans="1:8" ht="14.4" x14ac:dyDescent="0.3">
      <c r="A241" s="8" t="s">
        <v>62</v>
      </c>
      <c r="B241" s="28" t="s">
        <v>124</v>
      </c>
      <c r="C241" s="7"/>
      <c r="D241" s="66"/>
      <c r="E241" s="66"/>
      <c r="F241" s="66"/>
      <c r="G241" s="66"/>
      <c r="H241" s="29" t="s">
        <v>354</v>
      </c>
    </row>
    <row r="242" spans="1:8" ht="14.4" x14ac:dyDescent="0.3">
      <c r="A242" s="8" t="s">
        <v>67</v>
      </c>
      <c r="B242" s="28" t="s">
        <v>127</v>
      </c>
      <c r="C242" s="7"/>
      <c r="D242" s="66"/>
      <c r="E242" s="66"/>
      <c r="F242" s="66"/>
      <c r="G242" s="66"/>
      <c r="H242" s="7"/>
    </row>
    <row r="243" spans="1:8" ht="14.4" x14ac:dyDescent="0.3">
      <c r="A243" s="8" t="s">
        <v>73</v>
      </c>
      <c r="B243" s="28" t="s">
        <v>355</v>
      </c>
      <c r="C243" s="7"/>
      <c r="D243" s="66"/>
      <c r="E243" s="66"/>
      <c r="F243" s="66"/>
      <c r="G243" s="66"/>
      <c r="H243" s="7"/>
    </row>
    <row r="244" spans="1:8" ht="14.4" x14ac:dyDescent="0.3">
      <c r="A244" s="8" t="s">
        <v>78</v>
      </c>
      <c r="B244" s="28" t="s">
        <v>135</v>
      </c>
      <c r="C244" s="7"/>
      <c r="D244" s="66"/>
      <c r="E244" s="66"/>
      <c r="F244" s="66"/>
      <c r="G244" s="66"/>
      <c r="H244" s="7"/>
    </row>
    <row r="245" spans="1:8" ht="43.2" x14ac:dyDescent="0.3">
      <c r="A245" s="59" t="s">
        <v>172</v>
      </c>
      <c r="B245" s="37" t="s">
        <v>384</v>
      </c>
      <c r="C245" s="7"/>
      <c r="D245" s="66"/>
      <c r="E245" s="66"/>
      <c r="F245" s="66"/>
      <c r="G245" s="66"/>
      <c r="H245" s="7"/>
    </row>
    <row r="246" spans="1:8" ht="28.8" x14ac:dyDescent="0.3">
      <c r="A246" s="59" t="s">
        <v>174</v>
      </c>
      <c r="B246" s="37" t="s">
        <v>391</v>
      </c>
      <c r="C246" s="7"/>
      <c r="D246" s="66"/>
      <c r="E246" s="66"/>
      <c r="F246" s="66"/>
      <c r="G246" s="66"/>
      <c r="H246" s="7"/>
    </row>
    <row r="247" spans="1:8" ht="14.4" x14ac:dyDescent="0.3">
      <c r="A247" s="61" t="s">
        <v>175</v>
      </c>
      <c r="B247" s="7"/>
      <c r="C247" s="7"/>
      <c r="D247" s="66"/>
      <c r="E247" s="66"/>
      <c r="F247" s="66"/>
      <c r="G247" s="66"/>
      <c r="H247" s="7"/>
    </row>
    <row r="248" spans="1:8" ht="14.4" x14ac:dyDescent="0.3">
      <c r="A248" s="61" t="s">
        <v>274</v>
      </c>
      <c r="B248" s="7">
        <v>0.12</v>
      </c>
      <c r="C248" s="7"/>
      <c r="D248" s="66"/>
      <c r="E248" s="66"/>
      <c r="F248" s="66"/>
      <c r="G248" s="66"/>
      <c r="H248" s="7"/>
    </row>
    <row r="249" spans="1:8" ht="28.8" x14ac:dyDescent="0.3">
      <c r="A249" s="61" t="s">
        <v>177</v>
      </c>
      <c r="B249" s="7">
        <f>B248/1000</f>
        <v>1.1999999999999999E-4</v>
      </c>
      <c r="C249" s="7"/>
      <c r="D249" s="66"/>
      <c r="E249" s="66"/>
      <c r="F249" s="66"/>
      <c r="G249" s="66"/>
      <c r="H249" s="29" t="s">
        <v>276</v>
      </c>
    </row>
    <row r="250" spans="1:8" ht="28.8" x14ac:dyDescent="0.3">
      <c r="A250" s="61" t="s">
        <v>178</v>
      </c>
      <c r="B250" s="7">
        <v>35</v>
      </c>
      <c r="C250" s="7"/>
      <c r="D250" s="66"/>
      <c r="E250" s="66"/>
      <c r="F250" s="66"/>
      <c r="G250" s="66"/>
      <c r="H250" s="29" t="s">
        <v>356</v>
      </c>
    </row>
    <row r="251" spans="1:8" ht="28.8" x14ac:dyDescent="0.3">
      <c r="A251" s="59" t="s">
        <v>143</v>
      </c>
      <c r="B251" s="7">
        <v>0.22175500000000001</v>
      </c>
      <c r="C251" s="7"/>
      <c r="D251" s="66"/>
      <c r="E251" s="66"/>
      <c r="F251" s="66"/>
      <c r="G251" s="66"/>
      <c r="H251" s="29" t="s">
        <v>113</v>
      </c>
    </row>
    <row r="252" spans="1:8" ht="14.4" x14ac:dyDescent="0.3">
      <c r="A252" s="61" t="s">
        <v>144</v>
      </c>
      <c r="B252" s="7">
        <f>B249*B250*B251</f>
        <v>9.3137099999999996E-4</v>
      </c>
      <c r="C252" s="7"/>
      <c r="D252" s="66"/>
      <c r="E252" s="66"/>
      <c r="F252" s="66"/>
      <c r="G252" s="66"/>
      <c r="H252" s="7"/>
    </row>
    <row r="253" spans="1:8" ht="28.8" x14ac:dyDescent="0.3">
      <c r="A253" s="38" t="s">
        <v>357</v>
      </c>
      <c r="B253" s="7">
        <f>B252</f>
        <v>9.3137099999999996E-4</v>
      </c>
      <c r="C253" s="7"/>
      <c r="D253" s="66"/>
      <c r="E253" s="66"/>
      <c r="F253" s="66"/>
      <c r="G253" s="66"/>
      <c r="H253" s="29" t="s">
        <v>278</v>
      </c>
    </row>
    <row r="254" spans="1:8" ht="14.4" x14ac:dyDescent="0.3">
      <c r="A254" s="96"/>
      <c r="B254" s="7"/>
      <c r="C254" s="7"/>
      <c r="D254" s="66"/>
      <c r="E254" s="66"/>
      <c r="F254" s="66"/>
      <c r="G254" s="66"/>
      <c r="H254" s="7"/>
    </row>
    <row r="255" spans="1:8" ht="14.4" x14ac:dyDescent="0.3">
      <c r="A255" s="96"/>
      <c r="B255" s="7"/>
      <c r="C255" s="7"/>
      <c r="D255" s="66"/>
      <c r="E255" s="66"/>
      <c r="F255" s="66"/>
      <c r="G255" s="66"/>
      <c r="H255" s="7"/>
    </row>
    <row r="256" spans="1:8" ht="14.4" x14ac:dyDescent="0.3">
      <c r="A256" s="116" t="s">
        <v>253</v>
      </c>
      <c r="B256" s="150">
        <f>B51+B65+B75+B90+B107+B121+B134+B143+B156+B171+B196+B228+B238+B253</f>
        <v>57.811365087046653</v>
      </c>
      <c r="C256" s="151"/>
      <c r="D256" s="152"/>
      <c r="E256" s="117"/>
      <c r="F256" s="117"/>
      <c r="G256" s="117"/>
      <c r="H256" s="29"/>
    </row>
    <row r="258" spans="1:8" ht="14.4" x14ac:dyDescent="0.3">
      <c r="A258" s="118"/>
      <c r="B258" s="119"/>
      <c r="C258" s="120"/>
    </row>
    <row r="259" spans="1:8" ht="14.4" x14ac:dyDescent="0.3">
      <c r="A259" s="118"/>
      <c r="B259" t="s">
        <v>419</v>
      </c>
      <c r="C259" s="119">
        <f>D261</f>
        <v>2.3571705926999997</v>
      </c>
      <c r="D259">
        <f>SUM(B205:F205)</f>
        <v>0.77769999999999995</v>
      </c>
      <c r="E259" t="s">
        <v>362</v>
      </c>
      <c r="G259" s="121" t="s">
        <v>358</v>
      </c>
    </row>
    <row r="260" spans="1:8" ht="14.4" x14ac:dyDescent="0.3">
      <c r="B260" s="121" t="s">
        <v>420</v>
      </c>
      <c r="C260" s="119">
        <f>B51</f>
        <v>19.006113177333333</v>
      </c>
      <c r="D260" s="89">
        <v>3.030951</v>
      </c>
      <c r="E260" t="s">
        <v>323</v>
      </c>
      <c r="G260" s="122" t="s">
        <v>256</v>
      </c>
      <c r="H260" s="123">
        <f>B51</f>
        <v>19.006113177333333</v>
      </c>
    </row>
    <row r="261" spans="1:8" ht="14.4" x14ac:dyDescent="0.3">
      <c r="B261" s="121" t="s">
        <v>360</v>
      </c>
      <c r="C261" s="161">
        <f>B75</f>
        <v>1.1045064</v>
      </c>
      <c r="D261">
        <f>D259*D260</f>
        <v>2.3571705926999997</v>
      </c>
      <c r="G261" s="122" t="s">
        <v>359</v>
      </c>
      <c r="H261" s="123">
        <f>B107+B121+B134+B143+B156</f>
        <v>11.36365548888889</v>
      </c>
    </row>
    <row r="262" spans="1:8" ht="14.4" x14ac:dyDescent="0.3">
      <c r="B262" s="121" t="s">
        <v>124</v>
      </c>
      <c r="C262" s="161">
        <f>B65+B90+B171+B228+B253</f>
        <v>24.389600202979999</v>
      </c>
      <c r="G262" s="122" t="s">
        <v>360</v>
      </c>
      <c r="H262" s="123">
        <f>B75</f>
        <v>1.1045064</v>
      </c>
    </row>
    <row r="263" spans="1:8" ht="14.4" x14ac:dyDescent="0.3">
      <c r="B263" s="121" t="s">
        <v>359</v>
      </c>
      <c r="C263" s="119">
        <f>B107+B121+B134+B143+B156</f>
        <v>11.36365548888889</v>
      </c>
      <c r="G263" s="122" t="s">
        <v>361</v>
      </c>
      <c r="H263" s="123">
        <f>B65+B90+B171+B228+B253</f>
        <v>24.389600202979999</v>
      </c>
    </row>
    <row r="264" spans="1:8" ht="14.4" x14ac:dyDescent="0.3">
      <c r="B264" s="121" t="s">
        <v>159</v>
      </c>
      <c r="C264" s="119">
        <f>SUM(C259:C263)</f>
        <v>58.221045861902219</v>
      </c>
      <c r="G264" s="122" t="s">
        <v>362</v>
      </c>
      <c r="H264" s="123">
        <f>B196+B238</f>
        <v>1.9474898178444444</v>
      </c>
    </row>
    <row r="265" spans="1:8" ht="14.4" x14ac:dyDescent="0.3">
      <c r="B265" s="121"/>
      <c r="C265" s="119"/>
      <c r="G265" s="122" t="s">
        <v>363</v>
      </c>
      <c r="H265" s="123">
        <f>SUM(H260:H264)</f>
        <v>57.81136508704666</v>
      </c>
    </row>
    <row r="266" spans="1:8" ht="14.4" x14ac:dyDescent="0.3">
      <c r="B266" s="121"/>
      <c r="C266" s="129"/>
      <c r="G266" s="122" t="s">
        <v>364</v>
      </c>
      <c r="H266" s="124"/>
    </row>
    <row r="267" spans="1:8" ht="14.4" x14ac:dyDescent="0.3">
      <c r="B267" s="121"/>
      <c r="D267" s="121"/>
      <c r="E267" s="121"/>
      <c r="F267" s="121"/>
      <c r="G267" s="121"/>
    </row>
    <row r="268" spans="1:8" ht="14.4" x14ac:dyDescent="0.3"/>
    <row r="269" spans="1:8" ht="15" customHeight="1" x14ac:dyDescent="0.3">
      <c r="H269" s="120"/>
    </row>
    <row r="270" spans="1:8" ht="15" customHeight="1" x14ac:dyDescent="0.3">
      <c r="B270" s="120"/>
      <c r="C270" s="120"/>
      <c r="H270" s="120"/>
    </row>
    <row r="271" spans="1:8" ht="15" customHeight="1" x14ac:dyDescent="0.3">
      <c r="H271" s="120"/>
    </row>
    <row r="272" spans="1:8" ht="15" customHeight="1" x14ac:dyDescent="0.3">
      <c r="H272" s="120"/>
    </row>
    <row r="273" spans="8:8" ht="15" customHeight="1" x14ac:dyDescent="0.3">
      <c r="H273" s="120"/>
    </row>
    <row r="274" spans="8:8" ht="15" customHeight="1" x14ac:dyDescent="0.3">
      <c r="H274" s="120"/>
    </row>
  </sheetData>
  <mergeCells count="15">
    <mergeCell ref="B171:D171"/>
    <mergeCell ref="B238:D238"/>
    <mergeCell ref="B256:D256"/>
    <mergeCell ref="B90:D90"/>
    <mergeCell ref="B107:D107"/>
    <mergeCell ref="B121:D121"/>
    <mergeCell ref="B134:D134"/>
    <mergeCell ref="B143:D143"/>
    <mergeCell ref="B156:D156"/>
    <mergeCell ref="B75:D75"/>
    <mergeCell ref="B40:D40"/>
    <mergeCell ref="B44:D44"/>
    <mergeCell ref="B47:D47"/>
    <mergeCell ref="B48:D48"/>
    <mergeCell ref="B51:D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4ADE-B8A9-4986-941A-B6BF421E2A19}">
  <dimension ref="A1:X274"/>
  <sheetViews>
    <sheetView tabSelected="1" topLeftCell="A246" workbookViewId="0">
      <selection activeCell="C264" sqref="C264"/>
    </sheetView>
  </sheetViews>
  <sheetFormatPr defaultRowHeight="15" customHeight="1" x14ac:dyDescent="0.3"/>
  <cols>
    <col min="1" max="1" width="48.5546875" customWidth="1"/>
    <col min="2" max="2" width="42.6640625" customWidth="1"/>
    <col min="3" max="3" width="36.44140625" customWidth="1"/>
    <col min="4" max="7" width="30.5546875" customWidth="1"/>
    <col min="8" max="8" width="47" customWidth="1"/>
    <col min="9" max="9" width="32.6640625" customWidth="1"/>
    <col min="10" max="10" width="15.44140625" customWidth="1"/>
    <col min="11" max="11" width="12.44140625" customWidth="1"/>
    <col min="13" max="13" width="22.6640625" customWidth="1"/>
    <col min="14" max="14" width="11.5546875" bestFit="1" customWidth="1"/>
    <col min="15" max="15" width="13.44140625" customWidth="1"/>
    <col min="16" max="16" width="11.88671875" customWidth="1"/>
    <col min="17" max="17" width="11.109375" customWidth="1"/>
  </cols>
  <sheetData>
    <row r="1" spans="1:8" ht="14.4" x14ac:dyDescent="0.3">
      <c r="A1" s="4" t="s">
        <v>19</v>
      </c>
      <c r="B1" s="5"/>
      <c r="C1" s="5"/>
      <c r="D1" s="6"/>
      <c r="E1" s="6"/>
      <c r="F1" s="6"/>
      <c r="G1" s="6"/>
      <c r="H1" s="7"/>
    </row>
    <row r="2" spans="1:8" ht="14.4" x14ac:dyDescent="0.3">
      <c r="A2" s="8" t="s">
        <v>20</v>
      </c>
      <c r="B2" s="9" t="s">
        <v>21</v>
      </c>
      <c r="C2" s="5"/>
      <c r="D2" s="6"/>
      <c r="E2" s="6"/>
      <c r="F2" s="6"/>
      <c r="G2" s="6"/>
      <c r="H2" s="7"/>
    </row>
    <row r="3" spans="1:8" ht="14.4" x14ac:dyDescent="0.3">
      <c r="A3" s="8" t="s">
        <v>22</v>
      </c>
      <c r="B3" t="s">
        <v>17</v>
      </c>
      <c r="C3" s="5"/>
      <c r="D3" s="6"/>
      <c r="E3" s="6"/>
      <c r="F3" s="6"/>
      <c r="G3" s="6"/>
      <c r="H3" s="7"/>
    </row>
    <row r="4" spans="1:8" ht="14.4" x14ac:dyDescent="0.3">
      <c r="A4" s="8" t="s">
        <v>23</v>
      </c>
      <c r="B4" s="10" t="s">
        <v>24</v>
      </c>
      <c r="C4" s="5"/>
      <c r="D4" s="6"/>
      <c r="E4" s="6"/>
      <c r="F4" s="6"/>
      <c r="G4" s="6"/>
      <c r="H4" s="7"/>
    </row>
    <row r="5" spans="1:8" ht="14.4" x14ac:dyDescent="0.3">
      <c r="A5" s="8" t="s">
        <v>25</v>
      </c>
      <c r="B5" s="10" t="s">
        <v>26</v>
      </c>
      <c r="C5" s="5"/>
      <c r="D5" s="6"/>
      <c r="E5" s="6"/>
      <c r="F5" s="6"/>
      <c r="G5" s="6"/>
      <c r="H5" s="7"/>
    </row>
    <row r="6" spans="1:8" ht="14.4" x14ac:dyDescent="0.3">
      <c r="A6" s="8" t="s">
        <v>27</v>
      </c>
      <c r="B6" t="s">
        <v>365</v>
      </c>
      <c r="C6" s="5"/>
      <c r="D6" s="6"/>
      <c r="E6" s="6"/>
      <c r="F6" s="6"/>
      <c r="G6" s="6"/>
      <c r="H6" s="7"/>
    </row>
    <row r="7" spans="1:8" ht="14.4" x14ac:dyDescent="0.3">
      <c r="A7" s="8" t="s">
        <v>29</v>
      </c>
      <c r="B7" s="10" t="s">
        <v>30</v>
      </c>
      <c r="C7" s="5"/>
      <c r="D7" s="6"/>
      <c r="E7" s="6"/>
      <c r="F7" s="6"/>
      <c r="G7" s="6"/>
      <c r="H7" s="7"/>
    </row>
    <row r="8" spans="1:8" ht="14.4" x14ac:dyDescent="0.3">
      <c r="A8" s="8" t="s">
        <v>31</v>
      </c>
      <c r="B8" s="5" t="s">
        <v>366</v>
      </c>
      <c r="C8" s="5"/>
      <c r="D8" s="6"/>
      <c r="E8" s="6"/>
      <c r="F8" s="6"/>
      <c r="G8" s="6"/>
      <c r="H8" s="7"/>
    </row>
    <row r="9" spans="1:8" ht="14.4" x14ac:dyDescent="0.3">
      <c r="A9" s="8" t="s">
        <v>33</v>
      </c>
      <c r="B9" t="s">
        <v>367</v>
      </c>
      <c r="C9" s="5"/>
      <c r="D9" s="6"/>
      <c r="E9" s="6"/>
      <c r="F9" s="6"/>
      <c r="G9" s="6"/>
      <c r="H9" s="7"/>
    </row>
    <row r="10" spans="1:8" ht="14.4" x14ac:dyDescent="0.3">
      <c r="A10" s="8" t="s">
        <v>35</v>
      </c>
      <c r="B10" s="11">
        <v>45658</v>
      </c>
      <c r="C10" s="5"/>
      <c r="D10" s="6"/>
      <c r="E10" s="6"/>
      <c r="F10" s="6"/>
      <c r="G10" s="6"/>
      <c r="H10" s="7"/>
    </row>
    <row r="11" spans="1:8" ht="14.4" x14ac:dyDescent="0.3">
      <c r="A11" s="8" t="s">
        <v>36</v>
      </c>
      <c r="B11" s="11">
        <v>46022</v>
      </c>
      <c r="C11" s="5"/>
      <c r="D11" s="6"/>
      <c r="E11" s="6"/>
      <c r="F11" s="6"/>
      <c r="G11" s="6"/>
      <c r="H11" s="7"/>
    </row>
    <row r="12" spans="1:8" ht="14.4" x14ac:dyDescent="0.3">
      <c r="A12" s="12"/>
      <c r="B12" s="5"/>
      <c r="C12" s="5"/>
      <c r="D12" s="6"/>
      <c r="E12" s="6"/>
      <c r="F12" s="6"/>
      <c r="G12" s="6"/>
      <c r="H12" s="7"/>
    </row>
    <row r="13" spans="1:8" ht="14.4" x14ac:dyDescent="0.3">
      <c r="A13" s="4" t="s">
        <v>37</v>
      </c>
      <c r="B13" s="13"/>
      <c r="C13" s="14"/>
      <c r="D13" s="15"/>
      <c r="E13" s="15"/>
      <c r="F13" s="15"/>
      <c r="G13" s="15"/>
      <c r="H13" s="7"/>
    </row>
    <row r="14" spans="1:8" ht="28.8" x14ac:dyDescent="0.3">
      <c r="A14" s="16" t="s">
        <v>27</v>
      </c>
      <c r="B14" s="3" t="s">
        <v>365</v>
      </c>
      <c r="C14" s="14"/>
      <c r="D14" s="15"/>
      <c r="E14" s="15"/>
      <c r="F14" s="15"/>
      <c r="G14" s="15"/>
      <c r="H14" s="7"/>
    </row>
    <row r="15" spans="1:8" ht="14.4" x14ac:dyDescent="0.3">
      <c r="A15" s="16" t="s">
        <v>38</v>
      </c>
      <c r="B15" s="5" t="s">
        <v>368</v>
      </c>
      <c r="C15" s="14"/>
      <c r="D15" s="15"/>
      <c r="E15" s="15"/>
      <c r="F15" s="15"/>
      <c r="G15" s="15"/>
      <c r="H15" s="7"/>
    </row>
    <row r="16" spans="1:8" ht="14.4" x14ac:dyDescent="0.3">
      <c r="A16" s="16" t="s">
        <v>40</v>
      </c>
      <c r="B16" t="s">
        <v>367</v>
      </c>
      <c r="C16" s="14"/>
      <c r="D16" s="15"/>
      <c r="E16" s="15"/>
      <c r="F16" s="15"/>
      <c r="G16" s="15"/>
      <c r="H16" s="7"/>
    </row>
    <row r="17" spans="1:8" ht="14.4" x14ac:dyDescent="0.3">
      <c r="A17" s="16" t="s">
        <v>31</v>
      </c>
      <c r="B17" s="17" t="s">
        <v>42</v>
      </c>
      <c r="C17" s="14"/>
      <c r="D17" s="15"/>
      <c r="E17" s="15"/>
      <c r="F17" s="15"/>
      <c r="G17" s="15"/>
      <c r="H17" s="7"/>
    </row>
    <row r="18" spans="1:8" ht="14.4" x14ac:dyDescent="0.3">
      <c r="A18" s="16" t="s">
        <v>29</v>
      </c>
      <c r="B18" s="17" t="s">
        <v>30</v>
      </c>
      <c r="C18" s="14"/>
      <c r="D18" s="15"/>
      <c r="E18" s="15"/>
      <c r="F18" s="15"/>
      <c r="G18" s="15"/>
      <c r="H18" s="7"/>
    </row>
    <row r="19" spans="1:8" ht="14.4" x14ac:dyDescent="0.3">
      <c r="A19" s="12"/>
      <c r="B19" s="5"/>
      <c r="C19" s="5"/>
      <c r="D19" s="6"/>
      <c r="E19" s="6"/>
      <c r="F19" s="6"/>
      <c r="G19" s="6"/>
      <c r="H19" s="7"/>
    </row>
    <row r="20" spans="1:8" ht="14.4" x14ac:dyDescent="0.3">
      <c r="A20" s="8" t="s">
        <v>43</v>
      </c>
      <c r="B20" s="9" t="s">
        <v>44</v>
      </c>
      <c r="C20" s="5"/>
      <c r="D20" s="6"/>
      <c r="E20" s="6"/>
      <c r="F20" s="6"/>
      <c r="G20" s="6"/>
      <c r="H20" s="7"/>
    </row>
    <row r="21" spans="1:8" ht="14.4" x14ac:dyDescent="0.3">
      <c r="A21" s="8" t="s">
        <v>45</v>
      </c>
      <c r="B21" s="5" t="s">
        <v>46</v>
      </c>
      <c r="C21" s="5"/>
      <c r="D21" s="6"/>
      <c r="E21" s="6"/>
      <c r="F21" s="6"/>
      <c r="G21" s="6"/>
      <c r="H21" s="7"/>
    </row>
    <row r="22" spans="1:8" ht="14.4" x14ac:dyDescent="0.3">
      <c r="A22" s="8" t="s">
        <v>47</v>
      </c>
      <c r="B22" s="5" t="s">
        <v>48</v>
      </c>
      <c r="C22" s="5"/>
      <c r="D22" s="6"/>
      <c r="E22" s="6"/>
      <c r="F22" s="6"/>
      <c r="G22" s="6"/>
      <c r="H22" s="7"/>
    </row>
    <row r="23" spans="1:8" ht="14.4" x14ac:dyDescent="0.3">
      <c r="A23" s="8" t="s">
        <v>49</v>
      </c>
      <c r="B23">
        <v>2.8</v>
      </c>
      <c r="C23" s="5"/>
      <c r="D23" s="6"/>
      <c r="E23" s="6"/>
      <c r="F23" s="6"/>
      <c r="G23" s="6"/>
      <c r="H23" s="7"/>
    </row>
    <row r="24" spans="1:8" ht="14.4" x14ac:dyDescent="0.3">
      <c r="A24" s="8" t="s">
        <v>50</v>
      </c>
      <c r="B24" s="18">
        <v>1</v>
      </c>
      <c r="C24" s="5"/>
      <c r="D24" s="6"/>
      <c r="E24" s="6"/>
      <c r="F24" s="6"/>
      <c r="G24" s="6"/>
      <c r="H24" s="7"/>
    </row>
    <row r="25" spans="1:8" ht="14.4" x14ac:dyDescent="0.3">
      <c r="A25" s="8" t="s">
        <v>51</v>
      </c>
      <c r="B25" s="18" t="s">
        <v>52</v>
      </c>
      <c r="C25" s="5"/>
      <c r="D25" s="6"/>
      <c r="E25" s="6"/>
      <c r="F25" s="6"/>
      <c r="G25" s="6"/>
      <c r="H25" s="7"/>
    </row>
    <row r="26" spans="1:8" ht="14.4" x14ac:dyDescent="0.3">
      <c r="A26" s="8" t="s">
        <v>53</v>
      </c>
      <c r="B26" s="19">
        <v>1500</v>
      </c>
      <c r="C26" s="5"/>
      <c r="D26" s="6"/>
      <c r="E26" s="6"/>
      <c r="F26" s="6"/>
      <c r="G26" s="6"/>
      <c r="H26" s="7"/>
    </row>
    <row r="27" spans="1:8" ht="14.4" x14ac:dyDescent="0.3">
      <c r="A27" s="8" t="s">
        <v>54</v>
      </c>
      <c r="B27" s="18">
        <v>350</v>
      </c>
      <c r="C27" s="130"/>
      <c r="D27" s="6"/>
      <c r="E27" s="6"/>
      <c r="F27" s="6"/>
      <c r="G27" s="6"/>
      <c r="H27" s="7"/>
    </row>
    <row r="28" spans="1:8" ht="14.4" x14ac:dyDescent="0.3">
      <c r="A28" s="20" t="s">
        <v>55</v>
      </c>
      <c r="B28" s="21">
        <f>B26/B27</f>
        <v>4.2857142857142856</v>
      </c>
      <c r="C28" s="5"/>
      <c r="D28" s="6"/>
      <c r="E28" s="6"/>
      <c r="F28" s="6"/>
      <c r="G28" s="6"/>
      <c r="H28" s="7"/>
    </row>
    <row r="29" spans="1:8" ht="14.4" x14ac:dyDescent="0.3">
      <c r="A29" s="22"/>
      <c r="B29" s="23"/>
      <c r="C29" s="24"/>
      <c r="D29" s="25"/>
      <c r="E29" s="25"/>
      <c r="F29" s="25"/>
      <c r="G29" s="25"/>
      <c r="H29" s="7"/>
    </row>
    <row r="30" spans="1:8" ht="14.4" x14ac:dyDescent="0.3">
      <c r="A30" s="26" t="s">
        <v>56</v>
      </c>
      <c r="B30" t="s">
        <v>369</v>
      </c>
      <c r="C30" t="s">
        <v>370</v>
      </c>
      <c r="D30" t="s">
        <v>371</v>
      </c>
      <c r="E30" s="3"/>
      <c r="F30" s="3"/>
      <c r="G30" s="3"/>
      <c r="H30" s="7"/>
    </row>
    <row r="31" spans="1:8" ht="14.4" x14ac:dyDescent="0.3">
      <c r="A31" s="27" t="s">
        <v>62</v>
      </c>
      <c r="B31" s="28" t="s">
        <v>63</v>
      </c>
      <c r="C31" s="28" t="s">
        <v>63</v>
      </c>
      <c r="D31" s="28" t="s">
        <v>63</v>
      </c>
      <c r="E31" s="28"/>
      <c r="F31" s="28"/>
      <c r="G31" s="28"/>
      <c r="H31" s="29" t="s">
        <v>66</v>
      </c>
    </row>
    <row r="32" spans="1:8" ht="14.4" x14ac:dyDescent="0.3">
      <c r="A32" s="27" t="s">
        <v>67</v>
      </c>
      <c r="B32" s="28" t="s">
        <v>372</v>
      </c>
      <c r="C32" s="28" t="s">
        <v>372</v>
      </c>
      <c r="D32" s="28" t="s">
        <v>69</v>
      </c>
      <c r="E32" s="28"/>
      <c r="F32" s="28"/>
      <c r="G32" s="28"/>
      <c r="H32" s="7"/>
    </row>
    <row r="33" spans="1:24" ht="14.4" x14ac:dyDescent="0.3">
      <c r="A33" s="27" t="s">
        <v>73</v>
      </c>
      <c r="B33" s="28" t="s">
        <v>373</v>
      </c>
      <c r="C33" s="28" t="s">
        <v>373</v>
      </c>
      <c r="D33" s="28" t="s">
        <v>69</v>
      </c>
      <c r="E33" s="28"/>
      <c r="F33" s="28"/>
      <c r="G33" s="28"/>
      <c r="H33" s="7"/>
    </row>
    <row r="34" spans="1:24" ht="14.4" x14ac:dyDescent="0.3">
      <c r="A34" s="27" t="s">
        <v>78</v>
      </c>
      <c r="B34" s="28" t="s">
        <v>374</v>
      </c>
      <c r="C34" s="28" t="s">
        <v>374</v>
      </c>
      <c r="D34" s="28" t="s">
        <v>375</v>
      </c>
      <c r="E34" s="28"/>
      <c r="F34" s="28"/>
      <c r="G34" s="28"/>
      <c r="H34" s="7"/>
      <c r="I34" s="30"/>
      <c r="J34" s="30"/>
      <c r="K34" s="30"/>
      <c r="L34" s="30"/>
      <c r="M34" s="30"/>
      <c r="N34" s="30"/>
      <c r="O34" s="30"/>
    </row>
    <row r="35" spans="1:24" ht="14.4" x14ac:dyDescent="0.3">
      <c r="A35" s="27" t="s">
        <v>84</v>
      </c>
      <c r="B35" s="131">
        <v>0.58899999999999997</v>
      </c>
      <c r="C35" s="131">
        <v>0.26800000000000002</v>
      </c>
      <c r="D35" s="131">
        <v>0.14299999999999999</v>
      </c>
      <c r="E35" s="126">
        <v>0</v>
      </c>
      <c r="F35" s="126">
        <v>0</v>
      </c>
      <c r="G35" s="126">
        <v>0</v>
      </c>
      <c r="H35" s="29" t="s">
        <v>85</v>
      </c>
      <c r="I35" s="32"/>
      <c r="J35" s="32"/>
      <c r="K35" s="32"/>
      <c r="L35" s="32"/>
      <c r="M35" s="32"/>
      <c r="N35" s="32"/>
      <c r="Q35" s="32"/>
    </row>
    <row r="36" spans="1:24" ht="28.8" x14ac:dyDescent="0.3">
      <c r="A36" s="27" t="s">
        <v>86</v>
      </c>
      <c r="B36" s="9">
        <f>B23*B35</f>
        <v>1.6491999999999998</v>
      </c>
      <c r="C36" s="9">
        <f>B23*C35</f>
        <v>0.75039999999999996</v>
      </c>
      <c r="D36" s="9">
        <f>B23*D35</f>
        <v>0.40039999999999992</v>
      </c>
      <c r="E36" s="9">
        <f>B23*E35</f>
        <v>0</v>
      </c>
      <c r="F36" s="9">
        <f>B23*F35</f>
        <v>0</v>
      </c>
      <c r="G36" s="9">
        <f>B23*G35</f>
        <v>0</v>
      </c>
      <c r="H36" s="29" t="s">
        <v>87</v>
      </c>
      <c r="I36" s="32"/>
      <c r="J36" s="32"/>
      <c r="K36" s="32"/>
      <c r="L36" s="32"/>
      <c r="M36" s="32"/>
      <c r="N36" s="32"/>
      <c r="Q36" s="32"/>
    </row>
    <row r="37" spans="1:24" ht="14.4" x14ac:dyDescent="0.3">
      <c r="A37" s="27" t="s">
        <v>88</v>
      </c>
      <c r="B37" s="9">
        <f t="shared" ref="B37:G37" si="0">B36+B188</f>
        <v>2.4737999999999998</v>
      </c>
      <c r="C37" s="9">
        <f t="shared" si="0"/>
        <v>1.1255999999999999</v>
      </c>
      <c r="D37" s="9">
        <f t="shared" si="0"/>
        <v>0.60059999999999991</v>
      </c>
      <c r="E37" s="9">
        <f t="shared" si="0"/>
        <v>0</v>
      </c>
      <c r="F37" s="9">
        <f t="shared" si="0"/>
        <v>0</v>
      </c>
      <c r="G37" s="9">
        <f t="shared" si="0"/>
        <v>0</v>
      </c>
      <c r="H37" s="29" t="s">
        <v>89</v>
      </c>
      <c r="I37" s="32"/>
      <c r="J37" s="32"/>
      <c r="K37" s="32"/>
      <c r="L37" s="32"/>
      <c r="M37" s="32"/>
      <c r="N37" s="32"/>
      <c r="Q37" s="32"/>
    </row>
    <row r="38" spans="1:24" ht="28.8" x14ac:dyDescent="0.3">
      <c r="A38" s="27" t="s">
        <v>90</v>
      </c>
      <c r="B38" s="125">
        <v>0.62</v>
      </c>
      <c r="C38" s="31">
        <v>0.62</v>
      </c>
      <c r="D38" s="31">
        <v>0.61</v>
      </c>
      <c r="E38" s="31">
        <v>0</v>
      </c>
      <c r="F38" s="31">
        <v>0</v>
      </c>
      <c r="G38" s="31">
        <v>0</v>
      </c>
      <c r="H38" s="29" t="s">
        <v>91</v>
      </c>
      <c r="I38" s="32"/>
      <c r="J38" s="32"/>
      <c r="K38" s="32"/>
      <c r="L38" s="32"/>
      <c r="M38" s="32"/>
      <c r="N38" s="32"/>
      <c r="Q38" s="32"/>
    </row>
    <row r="39" spans="1:24" ht="28.8" x14ac:dyDescent="0.3">
      <c r="A39" s="27" t="s">
        <v>92</v>
      </c>
      <c r="B39" s="10">
        <f t="shared" ref="B39:G39" si="1">B37*B38</f>
        <v>1.5337559999999999</v>
      </c>
      <c r="C39" s="10">
        <f t="shared" si="1"/>
        <v>0.69787199999999994</v>
      </c>
      <c r="D39" s="10">
        <f t="shared" si="1"/>
        <v>0.36636599999999991</v>
      </c>
      <c r="E39" s="10">
        <f t="shared" si="1"/>
        <v>0</v>
      </c>
      <c r="F39" s="10">
        <f t="shared" si="1"/>
        <v>0</v>
      </c>
      <c r="G39" s="10">
        <f t="shared" si="1"/>
        <v>0</v>
      </c>
      <c r="H39" s="29" t="s">
        <v>93</v>
      </c>
      <c r="I39" s="32"/>
      <c r="J39" s="32"/>
      <c r="K39" s="32"/>
      <c r="L39" s="32"/>
      <c r="M39" s="32"/>
      <c r="N39" s="32"/>
      <c r="R39" s="30"/>
      <c r="S39" s="30"/>
      <c r="T39" s="30"/>
      <c r="U39" s="30"/>
      <c r="V39" s="30"/>
      <c r="W39" s="30"/>
      <c r="X39" s="30"/>
    </row>
    <row r="40" spans="1:24" ht="14.4" x14ac:dyDescent="0.3">
      <c r="A40" s="27" t="s">
        <v>94</v>
      </c>
      <c r="B40" s="147">
        <f>SUM(B39:H39)</f>
        <v>2.5979939999999995</v>
      </c>
      <c r="C40" s="147"/>
      <c r="D40" s="147"/>
      <c r="E40" s="10"/>
      <c r="F40" s="10"/>
      <c r="G40" s="10"/>
      <c r="H40" s="29" t="s">
        <v>95</v>
      </c>
      <c r="I40" s="32"/>
      <c r="J40" s="32"/>
      <c r="K40" s="32"/>
      <c r="L40" s="32"/>
      <c r="M40" s="32"/>
      <c r="N40" s="32"/>
      <c r="R40" s="30"/>
      <c r="S40" s="30"/>
      <c r="T40" s="30"/>
      <c r="U40" s="30"/>
      <c r="V40" s="30"/>
      <c r="W40" s="30"/>
      <c r="X40" s="30"/>
    </row>
    <row r="41" spans="1:24" ht="28.8" x14ac:dyDescent="0.3">
      <c r="A41" s="27" t="s">
        <v>96</v>
      </c>
      <c r="B41" s="31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29" t="s">
        <v>97</v>
      </c>
      <c r="I41" s="32"/>
      <c r="J41" s="32"/>
      <c r="K41" s="32"/>
      <c r="L41" s="32"/>
      <c r="M41" s="32"/>
      <c r="N41" s="32"/>
      <c r="R41" s="32"/>
      <c r="S41" s="32"/>
      <c r="T41" s="32"/>
      <c r="U41" s="32"/>
      <c r="V41" s="32"/>
      <c r="W41" s="32"/>
    </row>
    <row r="42" spans="1:24" ht="28.8" x14ac:dyDescent="0.3">
      <c r="A42" s="27" t="s">
        <v>98</v>
      </c>
      <c r="B42" s="10">
        <f t="shared" ref="B42:G42" si="2">B37*B41</f>
        <v>0</v>
      </c>
      <c r="C42" s="10">
        <f t="shared" si="2"/>
        <v>0</v>
      </c>
      <c r="D42" s="10">
        <f t="shared" si="2"/>
        <v>0</v>
      </c>
      <c r="E42" s="10">
        <f t="shared" si="2"/>
        <v>0</v>
      </c>
      <c r="F42" s="10">
        <f t="shared" si="2"/>
        <v>0</v>
      </c>
      <c r="G42" s="10">
        <f t="shared" si="2"/>
        <v>0</v>
      </c>
      <c r="H42" s="29" t="s">
        <v>99</v>
      </c>
      <c r="I42" s="32"/>
      <c r="J42" s="32"/>
      <c r="K42" s="32"/>
      <c r="L42" s="32"/>
      <c r="M42" s="32"/>
      <c r="N42" s="32"/>
      <c r="R42" s="32"/>
      <c r="S42" s="32"/>
      <c r="T42" s="32"/>
      <c r="U42" s="32"/>
      <c r="V42" s="32"/>
      <c r="W42" s="32"/>
    </row>
    <row r="43" spans="1:24" ht="28.8" x14ac:dyDescent="0.3">
      <c r="A43" s="27" t="s">
        <v>100</v>
      </c>
      <c r="B43" s="10">
        <f t="shared" ref="B43:G43" si="3">B42/100</f>
        <v>0</v>
      </c>
      <c r="C43" s="10">
        <f>C42/100</f>
        <v>0</v>
      </c>
      <c r="D43" s="10">
        <f t="shared" si="3"/>
        <v>0</v>
      </c>
      <c r="E43" s="10">
        <f t="shared" si="3"/>
        <v>0</v>
      </c>
      <c r="F43" s="10">
        <f t="shared" si="3"/>
        <v>0</v>
      </c>
      <c r="G43" s="10">
        <f t="shared" si="3"/>
        <v>0</v>
      </c>
      <c r="H43" s="29" t="s">
        <v>101</v>
      </c>
      <c r="I43" s="32"/>
      <c r="J43" s="32"/>
      <c r="K43" s="32"/>
      <c r="L43" s="32"/>
      <c r="M43" s="32"/>
      <c r="N43" s="32"/>
      <c r="R43" s="32"/>
      <c r="S43" s="32"/>
      <c r="T43" s="32"/>
      <c r="U43" s="32"/>
      <c r="V43" s="32"/>
      <c r="W43" s="32"/>
    </row>
    <row r="44" spans="1:24" ht="28.8" x14ac:dyDescent="0.3">
      <c r="A44" s="27" t="s">
        <v>102</v>
      </c>
      <c r="B44" s="147">
        <f>(B36*B38*B43)+(C36*C38*C43)+(D36*D38*D43)</f>
        <v>0</v>
      </c>
      <c r="C44" s="147"/>
      <c r="D44" s="147"/>
      <c r="E44" s="10"/>
      <c r="F44" s="10"/>
      <c r="G44" s="10"/>
      <c r="H44" s="29" t="s">
        <v>103</v>
      </c>
      <c r="I44" s="32"/>
      <c r="J44" s="32"/>
      <c r="K44" s="32"/>
      <c r="L44" s="32"/>
      <c r="M44" s="32"/>
      <c r="N44" s="32"/>
      <c r="R44" s="32"/>
      <c r="S44" s="32"/>
      <c r="T44" s="32"/>
      <c r="U44" s="32"/>
      <c r="V44" s="32"/>
      <c r="W44" s="32"/>
    </row>
    <row r="45" spans="1:24" ht="28.8" x14ac:dyDescent="0.3">
      <c r="A45" s="27" t="s">
        <v>104</v>
      </c>
      <c r="B45" s="31">
        <v>0.85</v>
      </c>
      <c r="C45" s="31">
        <v>0.3</v>
      </c>
      <c r="D45" s="31">
        <v>0</v>
      </c>
      <c r="E45" s="31">
        <v>0</v>
      </c>
      <c r="F45" s="31">
        <v>0</v>
      </c>
      <c r="G45" s="31">
        <v>0</v>
      </c>
      <c r="H45" s="29" t="s">
        <v>105</v>
      </c>
      <c r="I45" s="32"/>
      <c r="J45" s="32"/>
      <c r="K45" s="32"/>
      <c r="L45" s="32"/>
      <c r="M45" s="32"/>
      <c r="N45" s="32"/>
      <c r="R45" s="32"/>
      <c r="S45" s="32"/>
      <c r="T45" s="32"/>
      <c r="U45" s="32"/>
      <c r="V45" s="32"/>
      <c r="W45" s="32"/>
    </row>
    <row r="46" spans="1:24" ht="28.8" x14ac:dyDescent="0.3">
      <c r="A46" s="27" t="s">
        <v>106</v>
      </c>
      <c r="B46" s="10">
        <f t="shared" ref="B46:G46" si="4">B37*B45</f>
        <v>2.1027299999999998</v>
      </c>
      <c r="C46" s="10">
        <f t="shared" si="4"/>
        <v>0.33767999999999998</v>
      </c>
      <c r="D46" s="10">
        <f t="shared" si="4"/>
        <v>0</v>
      </c>
      <c r="E46" s="10">
        <f t="shared" si="4"/>
        <v>0</v>
      </c>
      <c r="F46" s="10">
        <f t="shared" si="4"/>
        <v>0</v>
      </c>
      <c r="G46" s="10">
        <f t="shared" si="4"/>
        <v>0</v>
      </c>
      <c r="H46" s="29" t="s">
        <v>107</v>
      </c>
      <c r="I46" s="32"/>
      <c r="J46" s="32"/>
      <c r="K46" s="32"/>
      <c r="L46" s="32"/>
      <c r="M46" s="32"/>
      <c r="N46" s="32"/>
    </row>
    <row r="47" spans="1:24" ht="28.8" x14ac:dyDescent="0.3">
      <c r="A47" s="27" t="s">
        <v>108</v>
      </c>
      <c r="B47" s="147">
        <f>SUM(B46:BF46)</f>
        <v>2.44041</v>
      </c>
      <c r="C47" s="147"/>
      <c r="D47" s="147"/>
      <c r="E47" s="10"/>
      <c r="F47" s="10"/>
      <c r="G47" s="10"/>
      <c r="H47" s="29" t="s">
        <v>109</v>
      </c>
      <c r="I47" s="32"/>
      <c r="J47" s="32"/>
      <c r="K47" s="32"/>
      <c r="L47" s="32"/>
      <c r="M47" s="32"/>
      <c r="N47" s="32"/>
    </row>
    <row r="48" spans="1:24" ht="28.8" x14ac:dyDescent="0.3">
      <c r="A48" s="27" t="s">
        <v>110</v>
      </c>
      <c r="B48" s="147">
        <f>B40-B47-B44</f>
        <v>0.1575839999999995</v>
      </c>
      <c r="C48" s="147"/>
      <c r="D48" s="147"/>
      <c r="E48" s="10"/>
      <c r="F48" s="10"/>
      <c r="G48" s="10"/>
      <c r="H48" s="29" t="s">
        <v>111</v>
      </c>
      <c r="I48" s="32"/>
      <c r="J48" s="32"/>
      <c r="K48" s="32"/>
      <c r="L48" s="32"/>
      <c r="M48" s="32"/>
      <c r="N48" s="32"/>
    </row>
    <row r="49" spans="1:14" ht="28.8" x14ac:dyDescent="0.3">
      <c r="A49" s="27" t="s">
        <v>112</v>
      </c>
      <c r="B49" s="10">
        <v>4.3084480000000003</v>
      </c>
      <c r="C49" s="10">
        <v>4.3084480000000003</v>
      </c>
      <c r="D49" s="10">
        <v>4.8831730000000002</v>
      </c>
      <c r="E49" s="28"/>
      <c r="F49" s="28"/>
      <c r="G49" s="28"/>
      <c r="H49" s="29" t="s">
        <v>113</v>
      </c>
      <c r="I49" s="32"/>
      <c r="J49" s="32"/>
      <c r="K49" s="32"/>
      <c r="L49" s="32"/>
      <c r="M49" s="32"/>
      <c r="N49" s="32"/>
    </row>
    <row r="50" spans="1:14" ht="28.8" x14ac:dyDescent="0.3">
      <c r="A50" s="27" t="s">
        <v>114</v>
      </c>
      <c r="B50" s="28">
        <f t="shared" ref="B50:G50" si="5">B37*B49</f>
        <v>10.658238662400001</v>
      </c>
      <c r="C50" s="28">
        <f t="shared" si="5"/>
        <v>4.8495890688000003</v>
      </c>
      <c r="D50" s="28">
        <f t="shared" si="5"/>
        <v>2.9328337037999996</v>
      </c>
      <c r="E50" s="28">
        <f t="shared" si="5"/>
        <v>0</v>
      </c>
      <c r="F50" s="28">
        <f t="shared" si="5"/>
        <v>0</v>
      </c>
      <c r="G50" s="28">
        <f t="shared" si="5"/>
        <v>0</v>
      </c>
      <c r="H50" s="29" t="s">
        <v>115</v>
      </c>
      <c r="I50" s="32"/>
      <c r="J50" s="32"/>
      <c r="K50" s="32"/>
      <c r="L50" s="32"/>
      <c r="M50" s="32"/>
      <c r="N50" s="32"/>
    </row>
    <row r="51" spans="1:14" ht="14.4" x14ac:dyDescent="0.3">
      <c r="A51" s="127" t="s">
        <v>116</v>
      </c>
      <c r="B51" s="145">
        <f>SUM(B50:G50)</f>
        <v>18.440661434999999</v>
      </c>
      <c r="C51" s="145"/>
      <c r="D51" s="145"/>
      <c r="E51" s="57"/>
      <c r="F51" s="57"/>
      <c r="G51" s="57"/>
      <c r="H51" s="29" t="s">
        <v>117</v>
      </c>
      <c r="I51" s="32"/>
      <c r="J51" s="32"/>
      <c r="K51" s="32"/>
      <c r="L51" s="32"/>
      <c r="M51" s="32"/>
      <c r="N51" s="32"/>
    </row>
    <row r="52" spans="1:14" ht="14.4" x14ac:dyDescent="0.3">
      <c r="A52" s="32"/>
      <c r="B52" s="36"/>
      <c r="C52" s="36"/>
      <c r="D52" s="36"/>
      <c r="E52" s="36"/>
      <c r="F52" s="36"/>
      <c r="G52" s="36"/>
      <c r="H52" s="34"/>
      <c r="I52" s="32"/>
      <c r="J52" s="32"/>
      <c r="K52" s="32"/>
      <c r="L52" s="32"/>
      <c r="M52" s="32"/>
      <c r="N52" s="32"/>
    </row>
    <row r="53" spans="1:14" ht="28.8" x14ac:dyDescent="0.3">
      <c r="A53" s="128" t="s">
        <v>118</v>
      </c>
      <c r="B53" t="s">
        <v>369</v>
      </c>
      <c r="C53" t="s">
        <v>370</v>
      </c>
      <c r="D53" t="s">
        <v>371</v>
      </c>
      <c r="E53" s="7"/>
      <c r="F53" s="7"/>
      <c r="G53" s="7"/>
      <c r="H53" s="36"/>
      <c r="I53" s="32"/>
      <c r="J53" s="32"/>
      <c r="K53" s="32"/>
      <c r="L53" s="32"/>
      <c r="M53" s="32"/>
      <c r="N53" s="32"/>
    </row>
    <row r="54" spans="1:14" ht="28.8" x14ac:dyDescent="0.3">
      <c r="A54" s="8" t="s">
        <v>62</v>
      </c>
      <c r="B54" s="28" t="s">
        <v>124</v>
      </c>
      <c r="C54" s="28" t="s">
        <v>124</v>
      </c>
      <c r="D54" s="28" t="s">
        <v>124</v>
      </c>
      <c r="E54" s="28"/>
      <c r="F54" s="28"/>
      <c r="G54" s="28"/>
      <c r="H54" s="29" t="s">
        <v>125</v>
      </c>
      <c r="I54" s="32"/>
      <c r="J54" s="32"/>
      <c r="K54" s="32"/>
      <c r="L54" s="32"/>
      <c r="M54" s="32"/>
      <c r="N54" s="32"/>
    </row>
    <row r="55" spans="1:14" ht="14.4" x14ac:dyDescent="0.3">
      <c r="A55" s="8" t="s">
        <v>67</v>
      </c>
      <c r="B55" s="28" t="s">
        <v>126</v>
      </c>
      <c r="C55" s="28" t="s">
        <v>127</v>
      </c>
      <c r="D55" s="28" t="s">
        <v>126</v>
      </c>
      <c r="E55" s="28"/>
      <c r="F55" s="28"/>
      <c r="G55" s="28"/>
      <c r="H55" s="36"/>
      <c r="I55" s="32"/>
      <c r="J55" s="32"/>
      <c r="K55" s="32"/>
      <c r="L55" s="32"/>
      <c r="M55" s="32"/>
      <c r="N55" s="32"/>
    </row>
    <row r="56" spans="1:14" ht="14.4" x14ac:dyDescent="0.3">
      <c r="A56" s="8" t="s">
        <v>73</v>
      </c>
      <c r="B56" s="28" t="s">
        <v>130</v>
      </c>
      <c r="C56" s="28" t="s">
        <v>131</v>
      </c>
      <c r="D56" s="28" t="s">
        <v>130</v>
      </c>
      <c r="E56" s="28"/>
      <c r="F56" s="28"/>
      <c r="G56" s="28"/>
      <c r="H56" s="36"/>
      <c r="I56" s="32"/>
      <c r="J56" s="32"/>
      <c r="K56" s="32"/>
      <c r="L56" s="32"/>
      <c r="M56" s="32"/>
      <c r="N56" s="32"/>
    </row>
    <row r="57" spans="1:14" ht="14.4" x14ac:dyDescent="0.3">
      <c r="A57" s="8" t="s">
        <v>78</v>
      </c>
      <c r="B57" s="28" t="s">
        <v>134</v>
      </c>
      <c r="C57" s="28" t="s">
        <v>135</v>
      </c>
      <c r="D57" s="28" t="s">
        <v>134</v>
      </c>
      <c r="E57" s="28"/>
      <c r="F57" s="28"/>
      <c r="G57" s="28"/>
      <c r="H57" s="36"/>
      <c r="I57" s="32"/>
      <c r="J57" s="32"/>
      <c r="K57" s="32"/>
      <c r="L57" s="32"/>
      <c r="M57" s="32"/>
      <c r="N57" s="32"/>
    </row>
    <row r="58" spans="1:14" ht="43.2" x14ac:dyDescent="0.3">
      <c r="A58" s="8" t="s">
        <v>138</v>
      </c>
      <c r="B58" s="3" t="s">
        <v>389</v>
      </c>
      <c r="C58" s="3" t="s">
        <v>389</v>
      </c>
      <c r="D58" s="37" t="s">
        <v>384</v>
      </c>
      <c r="E58" s="37"/>
      <c r="F58" s="37"/>
      <c r="G58" s="37"/>
      <c r="H58" s="36"/>
      <c r="I58" s="32"/>
      <c r="J58" s="32"/>
      <c r="K58" s="32"/>
      <c r="L58" s="32"/>
      <c r="M58" s="32"/>
      <c r="N58" s="32"/>
    </row>
    <row r="59" spans="1:14" ht="43.2" x14ac:dyDescent="0.3">
      <c r="A59" s="8" t="s">
        <v>139</v>
      </c>
      <c r="B59" s="3" t="s">
        <v>388</v>
      </c>
      <c r="C59" s="3" t="s">
        <v>388</v>
      </c>
      <c r="D59" s="3" t="s">
        <v>388</v>
      </c>
      <c r="E59" s="37"/>
      <c r="F59" s="37"/>
      <c r="G59" s="37"/>
      <c r="H59" s="36"/>
      <c r="I59" s="32"/>
      <c r="J59" s="32"/>
      <c r="K59" s="32"/>
      <c r="L59" s="32"/>
      <c r="M59" s="32"/>
      <c r="N59" s="32"/>
    </row>
    <row r="60" spans="1:14" ht="14.4" x14ac:dyDescent="0.3">
      <c r="A60" s="8" t="s">
        <v>140</v>
      </c>
      <c r="B60" s="7">
        <v>2</v>
      </c>
      <c r="C60" s="7">
        <v>0.9</v>
      </c>
      <c r="D60" s="7">
        <v>0.6</v>
      </c>
      <c r="E60" s="7"/>
      <c r="F60" s="7"/>
      <c r="G60" s="7"/>
      <c r="H60" s="36"/>
      <c r="I60" s="32"/>
      <c r="J60" s="32"/>
      <c r="K60" s="32"/>
      <c r="L60" s="32"/>
      <c r="M60" s="32"/>
      <c r="N60" s="32"/>
    </row>
    <row r="61" spans="1:14" ht="14.4" x14ac:dyDescent="0.3">
      <c r="A61" s="8" t="s">
        <v>141</v>
      </c>
      <c r="B61" s="36">
        <f>B60/B101</f>
        <v>3.3333333333333335E-3</v>
      </c>
      <c r="C61" s="36">
        <f>C60/B101</f>
        <v>1.5E-3</v>
      </c>
      <c r="D61" s="36">
        <f>D60/B101</f>
        <v>1E-3</v>
      </c>
      <c r="E61" s="36">
        <f>E60/B101</f>
        <v>0</v>
      </c>
      <c r="F61" s="36">
        <f>F60/B101</f>
        <v>0</v>
      </c>
      <c r="G61" s="36">
        <f>G60/B101</f>
        <v>0</v>
      </c>
      <c r="H61" s="36"/>
      <c r="I61" s="32"/>
      <c r="J61" s="32"/>
      <c r="K61" s="32"/>
      <c r="L61" s="32"/>
      <c r="M61" s="32"/>
      <c r="N61" s="32"/>
    </row>
    <row r="62" spans="1:14" ht="14.4" x14ac:dyDescent="0.3">
      <c r="A62" s="8" t="s">
        <v>142</v>
      </c>
      <c r="B62" s="36">
        <v>521</v>
      </c>
      <c r="C62" s="36">
        <v>521</v>
      </c>
      <c r="D62" s="36">
        <v>1059</v>
      </c>
      <c r="E62" s="36">
        <v>0</v>
      </c>
      <c r="F62" s="36">
        <v>0</v>
      </c>
      <c r="G62" s="36">
        <v>0</v>
      </c>
      <c r="H62" s="36"/>
      <c r="I62" s="32"/>
      <c r="J62" s="32"/>
      <c r="K62" s="32"/>
      <c r="L62" s="32"/>
      <c r="M62" s="32"/>
      <c r="N62" s="32"/>
    </row>
    <row r="63" spans="1:14" ht="28.8" x14ac:dyDescent="0.3">
      <c r="A63" s="8" t="s">
        <v>143</v>
      </c>
      <c r="B63" s="36">
        <v>0.237619</v>
      </c>
      <c r="C63" s="18">
        <v>1.246661</v>
      </c>
      <c r="D63" s="18">
        <v>0.237619</v>
      </c>
      <c r="E63" s="36">
        <v>0</v>
      </c>
      <c r="F63" s="36">
        <v>0</v>
      </c>
      <c r="G63" s="36">
        <v>0</v>
      </c>
      <c r="H63" s="29" t="s">
        <v>113</v>
      </c>
      <c r="I63" s="32"/>
      <c r="J63" s="32"/>
      <c r="K63" s="32"/>
      <c r="L63" s="32"/>
      <c r="M63" s="32"/>
      <c r="N63" s="32"/>
    </row>
    <row r="64" spans="1:14" ht="14.4" x14ac:dyDescent="0.3">
      <c r="A64" s="8" t="s">
        <v>144</v>
      </c>
      <c r="B64" s="36">
        <f t="shared" ref="B64:G64" si="6">B61*B62*B63</f>
        <v>0.41266499666666667</v>
      </c>
      <c r="C64" s="36">
        <f t="shared" si="6"/>
        <v>0.97426557149999993</v>
      </c>
      <c r="D64" s="36">
        <f t="shared" si="6"/>
        <v>0.251638521</v>
      </c>
      <c r="E64" s="36">
        <f t="shared" si="6"/>
        <v>0</v>
      </c>
      <c r="F64" s="36">
        <f t="shared" si="6"/>
        <v>0</v>
      </c>
      <c r="G64" s="36">
        <f t="shared" si="6"/>
        <v>0</v>
      </c>
      <c r="H64" s="36"/>
      <c r="I64" s="32"/>
      <c r="J64" s="32"/>
      <c r="K64" s="32"/>
      <c r="L64" s="32"/>
      <c r="M64" s="32"/>
      <c r="N64" s="32"/>
    </row>
    <row r="65" spans="1:14" ht="14.4" x14ac:dyDescent="0.3">
      <c r="A65" s="38" t="s">
        <v>145</v>
      </c>
      <c r="B65" s="39">
        <f>SUM(B64:G64)</f>
        <v>1.6385690891666667</v>
      </c>
      <c r="C65" s="36"/>
      <c r="D65" s="36"/>
      <c r="E65" s="36"/>
      <c r="F65" s="36"/>
      <c r="G65" s="36"/>
      <c r="H65" s="29" t="s">
        <v>146</v>
      </c>
      <c r="I65" s="32"/>
      <c r="J65" s="32"/>
      <c r="K65" s="32"/>
      <c r="L65" s="32"/>
      <c r="M65" s="32"/>
      <c r="N65" s="32"/>
    </row>
    <row r="66" spans="1:14" ht="14.4" x14ac:dyDescent="0.3">
      <c r="A66" s="32"/>
      <c r="B66" s="32"/>
      <c r="C66" s="32"/>
      <c r="D66" s="32"/>
      <c r="E66" s="32"/>
      <c r="F66" s="32"/>
      <c r="G66" s="32"/>
      <c r="H66" s="40"/>
      <c r="I66" s="32"/>
      <c r="J66" s="32"/>
      <c r="K66" s="32"/>
      <c r="L66" s="32"/>
      <c r="M66" s="32"/>
      <c r="N66" s="32"/>
    </row>
    <row r="67" spans="1:14" ht="14.4" x14ac:dyDescent="0.3">
      <c r="A67" s="35" t="s">
        <v>147</v>
      </c>
      <c r="B67" s="41" t="s">
        <v>147</v>
      </c>
      <c r="C67" s="41"/>
      <c r="D67" s="42"/>
      <c r="E67" s="42"/>
      <c r="F67" s="42"/>
      <c r="G67" s="42"/>
      <c r="H67" s="36"/>
      <c r="I67" s="32"/>
      <c r="J67" s="32"/>
      <c r="K67" s="32"/>
      <c r="L67" s="32"/>
      <c r="M67" s="32"/>
      <c r="N67" s="32"/>
    </row>
    <row r="68" spans="1:14" thickBot="1" x14ac:dyDescent="0.35">
      <c r="A68" s="8" t="s">
        <v>62</v>
      </c>
      <c r="B68" s="28" t="s">
        <v>148</v>
      </c>
      <c r="C68" s="28"/>
      <c r="D68" s="42"/>
      <c r="E68" s="42"/>
      <c r="F68" s="42"/>
      <c r="G68" s="42"/>
      <c r="H68" s="29" t="s">
        <v>149</v>
      </c>
      <c r="I68" s="32"/>
      <c r="J68" s="32"/>
      <c r="K68" s="32"/>
      <c r="L68" s="32"/>
      <c r="M68" s="32"/>
      <c r="N68" s="32"/>
    </row>
    <row r="69" spans="1:14" ht="14.4" x14ac:dyDescent="0.3">
      <c r="A69" s="8" t="s">
        <v>67</v>
      </c>
      <c r="B69" s="28" t="s">
        <v>150</v>
      </c>
      <c r="C69" s="28"/>
      <c r="D69" s="42"/>
      <c r="E69" s="42"/>
      <c r="F69" s="42"/>
      <c r="G69" s="42"/>
      <c r="H69" s="36"/>
      <c r="I69" s="32"/>
      <c r="J69" s="32"/>
      <c r="K69" s="32"/>
      <c r="L69" s="32"/>
      <c r="M69" s="43" t="s">
        <v>151</v>
      </c>
      <c r="N69" s="44">
        <f>B51</f>
        <v>18.440661434999999</v>
      </c>
    </row>
    <row r="70" spans="1:14" s="47" customFormat="1" ht="14.4" x14ac:dyDescent="0.3">
      <c r="A70" s="8" t="s">
        <v>73</v>
      </c>
      <c r="B70" s="28" t="s">
        <v>152</v>
      </c>
      <c r="C70" s="28"/>
      <c r="D70" s="42"/>
      <c r="E70" s="42"/>
      <c r="F70" s="42"/>
      <c r="G70" s="42"/>
      <c r="H70" s="36"/>
      <c r="I70" s="32"/>
      <c r="J70" s="32"/>
      <c r="K70" s="32"/>
      <c r="L70" s="32"/>
      <c r="M70" s="45" t="s">
        <v>153</v>
      </c>
      <c r="N70" s="46">
        <f>B107+B121+B134+B143+B156</f>
        <v>17.969269500000006</v>
      </c>
    </row>
    <row r="71" spans="1:14" ht="14.4" x14ac:dyDescent="0.3">
      <c r="A71" s="8" t="s">
        <v>78</v>
      </c>
      <c r="B71" s="28" t="s">
        <v>154</v>
      </c>
      <c r="C71" s="28"/>
      <c r="D71" s="6"/>
      <c r="E71" s="6"/>
      <c r="F71" s="6"/>
      <c r="G71" s="6"/>
      <c r="H71" s="7"/>
      <c r="M71" s="48" t="s">
        <v>155</v>
      </c>
      <c r="N71" s="49">
        <f>B238</f>
        <v>1.8884800000000001E-3</v>
      </c>
    </row>
    <row r="72" spans="1:14" ht="14.4" x14ac:dyDescent="0.3">
      <c r="A72" s="8" t="s">
        <v>49</v>
      </c>
      <c r="B72">
        <v>0.55000000000000004</v>
      </c>
      <c r="C72" s="51"/>
      <c r="D72" s="52"/>
      <c r="E72" s="52"/>
      <c r="F72" s="52"/>
      <c r="G72" s="52"/>
      <c r="H72" s="29" t="s">
        <v>156</v>
      </c>
      <c r="M72" s="48" t="s">
        <v>157</v>
      </c>
      <c r="N72" s="53">
        <f>B75</f>
        <v>0.50623210000000007</v>
      </c>
    </row>
    <row r="73" spans="1:14" ht="29.4" thickBot="1" x14ac:dyDescent="0.35">
      <c r="A73" s="8" t="s">
        <v>158</v>
      </c>
      <c r="B73" s="50">
        <v>0.92042199999999996</v>
      </c>
      <c r="C73" s="54"/>
      <c r="D73" s="6"/>
      <c r="E73" s="6"/>
      <c r="F73" s="6"/>
      <c r="G73" s="6"/>
      <c r="H73" s="29" t="s">
        <v>113</v>
      </c>
      <c r="M73" s="55" t="s">
        <v>159</v>
      </c>
      <c r="N73" s="56">
        <f>SUM(N69:N72)</f>
        <v>36.918051515000002</v>
      </c>
    </row>
    <row r="74" spans="1:14" ht="43.2" x14ac:dyDescent="0.3">
      <c r="A74" s="8" t="s">
        <v>160</v>
      </c>
      <c r="B74" s="2">
        <f>B72*B73</f>
        <v>0.50623210000000007</v>
      </c>
      <c r="C74" s="10"/>
      <c r="D74" s="6"/>
      <c r="E74" s="6"/>
      <c r="F74" s="6"/>
      <c r="G74" s="6"/>
      <c r="H74" s="29" t="s">
        <v>161</v>
      </c>
    </row>
    <row r="75" spans="1:14" ht="14.4" x14ac:dyDescent="0.3">
      <c r="A75" s="20" t="s">
        <v>162</v>
      </c>
      <c r="B75" s="145">
        <f>SUM(B74:C74)</f>
        <v>0.50623210000000007</v>
      </c>
      <c r="C75" s="145"/>
      <c r="D75" s="146"/>
      <c r="E75" s="58"/>
      <c r="F75" s="58"/>
      <c r="G75" s="58"/>
      <c r="H75" s="29" t="s">
        <v>163</v>
      </c>
    </row>
    <row r="76" spans="1:14" ht="14.4" x14ac:dyDescent="0.3">
      <c r="A76" s="8"/>
      <c r="B76" s="10"/>
      <c r="C76" s="10"/>
      <c r="D76" s="6"/>
      <c r="E76" s="6"/>
      <c r="F76" s="6"/>
      <c r="G76" s="6"/>
      <c r="H76" s="7"/>
    </row>
    <row r="77" spans="1:14" ht="14.4" x14ac:dyDescent="0.3">
      <c r="A77" s="35" t="s">
        <v>164</v>
      </c>
      <c r="B77" s="10"/>
      <c r="C77" s="10"/>
      <c r="D77" s="6"/>
      <c r="E77" s="6"/>
      <c r="F77" s="6"/>
      <c r="G77" s="6"/>
      <c r="H77" s="7"/>
    </row>
    <row r="78" spans="1:14" ht="14.4" x14ac:dyDescent="0.3">
      <c r="A78" s="8" t="s">
        <v>62</v>
      </c>
      <c r="B78" s="28" t="s">
        <v>124</v>
      </c>
      <c r="C78" s="28"/>
      <c r="D78" s="28"/>
      <c r="E78" s="28"/>
      <c r="F78" s="28"/>
      <c r="G78" s="28"/>
      <c r="H78" s="29" t="s">
        <v>165</v>
      </c>
    </row>
    <row r="79" spans="1:14" ht="45" customHeight="1" x14ac:dyDescent="0.3">
      <c r="A79" s="8" t="s">
        <v>67</v>
      </c>
      <c r="B79" s="28" t="s">
        <v>126</v>
      </c>
      <c r="C79" s="28"/>
      <c r="D79" s="28"/>
      <c r="E79" s="28"/>
      <c r="F79" s="28"/>
      <c r="G79" s="28"/>
      <c r="H79" s="29" t="s">
        <v>167</v>
      </c>
    </row>
    <row r="80" spans="1:14" ht="14.4" x14ac:dyDescent="0.3">
      <c r="A80" s="8" t="s">
        <v>73</v>
      </c>
      <c r="B80" s="28" t="s">
        <v>169</v>
      </c>
      <c r="C80" s="28"/>
      <c r="D80" s="28"/>
      <c r="E80" s="28"/>
      <c r="F80" s="28"/>
      <c r="G80" s="28"/>
      <c r="H80" s="7"/>
    </row>
    <row r="81" spans="1:8" ht="14.4" x14ac:dyDescent="0.3">
      <c r="A81" s="8" t="s">
        <v>78</v>
      </c>
      <c r="B81" s="28" t="s">
        <v>134</v>
      </c>
      <c r="C81" s="28"/>
      <c r="D81" s="28"/>
      <c r="E81" s="28"/>
      <c r="F81" s="28"/>
      <c r="G81" s="28"/>
      <c r="H81" s="7"/>
    </row>
    <row r="82" spans="1:8" ht="14.4" x14ac:dyDescent="0.3">
      <c r="A82" s="59" t="s">
        <v>172</v>
      </c>
      <c r="B82" t="s">
        <v>376</v>
      </c>
      <c r="E82" s="60"/>
      <c r="F82" s="60"/>
      <c r="G82" s="60"/>
      <c r="H82" s="7"/>
    </row>
    <row r="83" spans="1:8" ht="28.8" x14ac:dyDescent="0.3">
      <c r="A83" s="59" t="s">
        <v>174</v>
      </c>
      <c r="B83" s="3" t="s">
        <v>388</v>
      </c>
      <c r="D83" s="11"/>
      <c r="E83" s="42"/>
      <c r="F83" s="42"/>
      <c r="G83" s="42"/>
      <c r="H83" s="7"/>
    </row>
    <row r="84" spans="1:8" ht="14.4" x14ac:dyDescent="0.3">
      <c r="A84" s="61" t="s">
        <v>175</v>
      </c>
      <c r="B84" s="42"/>
      <c r="C84" s="42"/>
      <c r="D84" s="42"/>
      <c r="E84" s="42"/>
      <c r="F84" s="42"/>
      <c r="G84" s="42"/>
      <c r="H84" s="7"/>
    </row>
    <row r="85" spans="1:8" ht="14.4" x14ac:dyDescent="0.3">
      <c r="A85" s="61" t="s">
        <v>176</v>
      </c>
      <c r="B85" s="42">
        <v>0.55000000000000004</v>
      </c>
      <c r="C85" s="42">
        <v>0</v>
      </c>
      <c r="D85" s="42">
        <v>0</v>
      </c>
      <c r="E85" s="42"/>
      <c r="F85" s="42"/>
      <c r="G85" s="42"/>
      <c r="H85" s="7"/>
    </row>
    <row r="86" spans="1:8" ht="14.4" x14ac:dyDescent="0.3">
      <c r="A86" s="61" t="s">
        <v>177</v>
      </c>
      <c r="B86" s="42">
        <f>B85/1000</f>
        <v>5.5000000000000003E-4</v>
      </c>
      <c r="C86" s="42">
        <f>C85/1000</f>
        <v>0</v>
      </c>
      <c r="D86" s="42">
        <v>0</v>
      </c>
      <c r="E86" s="42"/>
      <c r="F86" s="42"/>
      <c r="G86" s="42"/>
      <c r="H86" s="7"/>
    </row>
    <row r="87" spans="1:8" ht="14.4" x14ac:dyDescent="0.3">
      <c r="A87" s="61" t="s">
        <v>178</v>
      </c>
      <c r="B87" s="42">
        <v>464</v>
      </c>
      <c r="C87" s="42">
        <v>0</v>
      </c>
      <c r="D87" s="42">
        <v>0</v>
      </c>
      <c r="E87" s="42"/>
      <c r="F87" s="42"/>
      <c r="G87" s="42"/>
      <c r="H87" s="7"/>
    </row>
    <row r="88" spans="1:8" ht="28.8" x14ac:dyDescent="0.3">
      <c r="A88" s="59" t="s">
        <v>143</v>
      </c>
      <c r="B88" s="42">
        <v>0.41136899999999998</v>
      </c>
      <c r="C88" s="42">
        <v>0</v>
      </c>
      <c r="D88" s="42">
        <v>0</v>
      </c>
      <c r="E88" s="42"/>
      <c r="F88" s="42"/>
      <c r="G88" s="42"/>
      <c r="H88" s="29" t="s">
        <v>113</v>
      </c>
    </row>
    <row r="89" spans="1:8" ht="14.4" x14ac:dyDescent="0.3">
      <c r="A89" s="61" t="s">
        <v>144</v>
      </c>
      <c r="B89" s="42">
        <f>B86*B87*B88</f>
        <v>0.10498136880000002</v>
      </c>
      <c r="C89" s="42">
        <f>C86*C87*C88</f>
        <v>0</v>
      </c>
      <c r="D89" s="42">
        <v>0</v>
      </c>
      <c r="E89" s="42"/>
      <c r="F89" s="42"/>
      <c r="G89" s="42"/>
      <c r="H89" s="29" t="s">
        <v>179</v>
      </c>
    </row>
    <row r="90" spans="1:8" ht="28.8" x14ac:dyDescent="0.3">
      <c r="A90" s="38" t="s">
        <v>180</v>
      </c>
      <c r="B90" s="145">
        <f>B89+C89+D89</f>
        <v>0.10498136880000002</v>
      </c>
      <c r="C90" s="145"/>
      <c r="D90" s="146"/>
      <c r="E90" s="58"/>
      <c r="F90" s="58"/>
      <c r="G90" s="58"/>
      <c r="H90" s="29" t="s">
        <v>181</v>
      </c>
    </row>
    <row r="91" spans="1:8" ht="14.4" x14ac:dyDescent="0.3">
      <c r="A91" s="38"/>
      <c r="B91" s="57"/>
      <c r="C91" s="57"/>
      <c r="D91" s="58"/>
      <c r="E91" s="58"/>
      <c r="F91" s="58"/>
      <c r="G91" s="58"/>
      <c r="H91" s="29"/>
    </row>
    <row r="92" spans="1:8" ht="14.4" x14ac:dyDescent="0.3">
      <c r="A92" s="8"/>
      <c r="B92" s="10"/>
      <c r="C92" s="10"/>
      <c r="D92" s="6"/>
      <c r="E92" s="6"/>
      <c r="F92" s="6"/>
      <c r="G92" s="6"/>
      <c r="H92" s="7"/>
    </row>
    <row r="93" spans="1:8" ht="14.4" x14ac:dyDescent="0.3">
      <c r="A93" s="35" t="s">
        <v>182</v>
      </c>
      <c r="B93" s="10"/>
      <c r="C93" s="10"/>
      <c r="D93" s="6"/>
      <c r="E93" s="6"/>
      <c r="F93" s="6"/>
      <c r="G93" s="6"/>
      <c r="H93" s="7"/>
    </row>
    <row r="94" spans="1:8" ht="14.4" x14ac:dyDescent="0.3">
      <c r="A94" s="8" t="s">
        <v>62</v>
      </c>
      <c r="B94" s="28" t="s">
        <v>183</v>
      </c>
      <c r="C94" s="10"/>
      <c r="D94" s="6"/>
      <c r="E94" s="6"/>
      <c r="F94" s="6"/>
      <c r="G94" s="6"/>
      <c r="H94" s="29" t="s">
        <v>184</v>
      </c>
    </row>
    <row r="95" spans="1:8" ht="14.4" x14ac:dyDescent="0.3">
      <c r="A95" s="8" t="s">
        <v>67</v>
      </c>
      <c r="B95" s="28" t="s">
        <v>185</v>
      </c>
      <c r="C95" s="10"/>
      <c r="D95" s="6"/>
      <c r="E95" s="6"/>
      <c r="F95" s="6"/>
      <c r="G95" s="6"/>
      <c r="H95" s="7"/>
    </row>
    <row r="96" spans="1:8" ht="14.4" x14ac:dyDescent="0.3">
      <c r="A96" s="8" t="s">
        <v>73</v>
      </c>
      <c r="B96" s="28" t="s">
        <v>186</v>
      </c>
      <c r="C96" s="10"/>
      <c r="D96" s="6"/>
      <c r="E96" s="6"/>
      <c r="F96" s="6"/>
      <c r="G96" s="6"/>
      <c r="H96" s="7"/>
    </row>
    <row r="97" spans="1:8" ht="14.4" x14ac:dyDescent="0.3">
      <c r="A97" s="8" t="s">
        <v>78</v>
      </c>
      <c r="B97" s="28" t="s">
        <v>187</v>
      </c>
      <c r="C97" s="5"/>
      <c r="D97" s="6"/>
      <c r="E97" s="6"/>
      <c r="F97" s="6"/>
      <c r="G97" s="6"/>
      <c r="H97" s="7"/>
    </row>
    <row r="98" spans="1:8" ht="14.4" x14ac:dyDescent="0.3">
      <c r="A98" s="8" t="s">
        <v>188</v>
      </c>
      <c r="B98" s="28" t="s">
        <v>189</v>
      </c>
      <c r="C98" s="5"/>
      <c r="D98" s="6"/>
      <c r="E98" s="6"/>
      <c r="F98" s="6"/>
      <c r="G98" s="6"/>
      <c r="H98" s="7"/>
    </row>
    <row r="99" spans="1:8" ht="28.8" x14ac:dyDescent="0.3">
      <c r="A99" s="62" t="s">
        <v>190</v>
      </c>
      <c r="B99" s="10">
        <v>20000</v>
      </c>
      <c r="C99" s="5"/>
      <c r="D99" s="6"/>
      <c r="E99" s="6"/>
      <c r="F99" s="6"/>
      <c r="G99" s="6"/>
      <c r="H99" s="29" t="s">
        <v>191</v>
      </c>
    </row>
    <row r="100" spans="1:8" ht="14.4" x14ac:dyDescent="0.3">
      <c r="A100" s="63" t="s">
        <v>192</v>
      </c>
      <c r="B100" s="10">
        <v>3000</v>
      </c>
      <c r="C100" s="5"/>
      <c r="D100" s="6"/>
      <c r="E100" s="6"/>
      <c r="F100" s="6"/>
      <c r="G100" s="6"/>
      <c r="H100" s="29" t="s">
        <v>193</v>
      </c>
    </row>
    <row r="101" spans="1:8" ht="14.4" x14ac:dyDescent="0.3">
      <c r="A101" s="63" t="s">
        <v>194</v>
      </c>
      <c r="B101" s="10">
        <v>600</v>
      </c>
      <c r="C101" s="5"/>
      <c r="D101" s="6"/>
      <c r="E101" s="6"/>
      <c r="F101" s="6"/>
      <c r="G101" s="6"/>
      <c r="H101" s="29" t="s">
        <v>195</v>
      </c>
    </row>
    <row r="102" spans="1:8" ht="28.8" x14ac:dyDescent="0.3">
      <c r="A102" s="64" t="s">
        <v>196</v>
      </c>
      <c r="B102" s="10">
        <f>PRODUCT(B23,B101)</f>
        <v>1680</v>
      </c>
      <c r="C102" s="5"/>
      <c r="D102" s="6"/>
      <c r="E102" s="6"/>
      <c r="F102" s="6"/>
      <c r="G102" s="6"/>
      <c r="H102" s="29" t="s">
        <v>197</v>
      </c>
    </row>
    <row r="103" spans="1:8" ht="14.4" x14ac:dyDescent="0.3">
      <c r="A103" s="136" t="s">
        <v>397</v>
      </c>
      <c r="B103" s="125">
        <f>B102/B100</f>
        <v>0.56000000000000005</v>
      </c>
      <c r="C103" s="5"/>
      <c r="D103" s="6"/>
      <c r="E103" s="6"/>
      <c r="F103" s="6"/>
      <c r="G103" s="6"/>
      <c r="H103" s="29"/>
    </row>
    <row r="104" spans="1:8" ht="43.2" x14ac:dyDescent="0.3">
      <c r="A104" s="62" t="s">
        <v>198</v>
      </c>
      <c r="B104" s="10">
        <f>(B102/B100)*B99</f>
        <v>11200.000000000002</v>
      </c>
      <c r="C104" s="5"/>
      <c r="D104" s="6"/>
      <c r="E104" s="6"/>
      <c r="F104" s="6"/>
      <c r="G104" s="6"/>
      <c r="H104" s="29" t="s">
        <v>199</v>
      </c>
    </row>
    <row r="105" spans="1:8" ht="43.2" x14ac:dyDescent="0.3">
      <c r="A105" s="62" t="s">
        <v>200</v>
      </c>
      <c r="B105" s="65">
        <f>B104/B101</f>
        <v>18.666666666666671</v>
      </c>
      <c r="C105" s="7"/>
      <c r="D105" s="66"/>
      <c r="E105" s="66"/>
      <c r="F105" s="66"/>
      <c r="G105" s="66"/>
      <c r="H105" s="29" t="s">
        <v>201</v>
      </c>
    </row>
    <row r="106" spans="1:8" ht="28.8" x14ac:dyDescent="0.3">
      <c r="A106" s="63" t="s">
        <v>202</v>
      </c>
      <c r="B106" s="65">
        <v>0.95075500000000002</v>
      </c>
      <c r="C106" s="67"/>
      <c r="D106" s="6"/>
      <c r="E106" s="6"/>
      <c r="F106" s="6"/>
      <c r="G106" s="6"/>
      <c r="H106" s="29" t="s">
        <v>113</v>
      </c>
    </row>
    <row r="107" spans="1:8" ht="28.8" x14ac:dyDescent="0.3">
      <c r="A107" s="20" t="s">
        <v>203</v>
      </c>
      <c r="B107" s="153">
        <f>B105*B106</f>
        <v>17.747426666666673</v>
      </c>
      <c r="C107" s="153"/>
      <c r="D107" s="154"/>
      <c r="E107" s="68"/>
      <c r="F107" s="68"/>
      <c r="G107" s="68"/>
      <c r="H107" s="29" t="s">
        <v>204</v>
      </c>
    </row>
    <row r="108" spans="1:8" ht="14.4" x14ac:dyDescent="0.3">
      <c r="A108" s="9"/>
      <c r="B108" s="6"/>
      <c r="C108" s="69"/>
      <c r="D108" s="69"/>
      <c r="E108" s="69"/>
      <c r="F108" s="69"/>
      <c r="G108" s="69"/>
      <c r="H108" s="7"/>
    </row>
    <row r="109" spans="1:8" ht="14.4" x14ac:dyDescent="0.3">
      <c r="A109" s="4" t="s">
        <v>205</v>
      </c>
      <c r="B109" s="14"/>
      <c r="C109" s="69"/>
      <c r="D109" s="69"/>
      <c r="E109" s="69"/>
      <c r="F109" s="69"/>
      <c r="G109" s="69"/>
      <c r="H109" s="7"/>
    </row>
    <row r="110" spans="1:8" ht="28.8" x14ac:dyDescent="0.3">
      <c r="A110" s="16" t="s">
        <v>206</v>
      </c>
      <c r="B110" s="28" t="s">
        <v>207</v>
      </c>
      <c r="C110" s="5"/>
      <c r="D110" s="6"/>
      <c r="E110" s="6"/>
      <c r="F110" s="6"/>
      <c r="G110" s="6"/>
      <c r="H110" s="29" t="s">
        <v>208</v>
      </c>
    </row>
    <row r="111" spans="1:8" ht="14.4" x14ac:dyDescent="0.3">
      <c r="A111" s="16" t="s">
        <v>209</v>
      </c>
      <c r="B111" s="28" t="s">
        <v>183</v>
      </c>
      <c r="C111" s="5"/>
      <c r="D111" s="6"/>
      <c r="E111" s="6"/>
      <c r="F111" s="6"/>
      <c r="G111" s="6"/>
      <c r="H111" s="7"/>
    </row>
    <row r="112" spans="1:8" ht="14.4" x14ac:dyDescent="0.3">
      <c r="A112" s="16" t="s">
        <v>210</v>
      </c>
      <c r="B112" s="28" t="s">
        <v>185</v>
      </c>
      <c r="C112" s="5"/>
      <c r="D112" s="6"/>
      <c r="E112" s="6"/>
      <c r="F112" s="6"/>
      <c r="G112" s="6"/>
      <c r="H112" s="7"/>
    </row>
    <row r="113" spans="1:8" ht="14.4" x14ac:dyDescent="0.3">
      <c r="A113" s="16" t="s">
        <v>73</v>
      </c>
      <c r="B113" s="28" t="s">
        <v>186</v>
      </c>
      <c r="C113" s="5"/>
      <c r="D113" s="6"/>
      <c r="E113" s="6"/>
      <c r="F113" s="6"/>
      <c r="G113" s="6"/>
      <c r="H113" s="7"/>
    </row>
    <row r="114" spans="1:8" ht="14.4" x14ac:dyDescent="0.3">
      <c r="A114" s="16" t="s">
        <v>78</v>
      </c>
      <c r="B114" s="28" t="s">
        <v>187</v>
      </c>
      <c r="C114" s="5"/>
      <c r="D114" s="6"/>
      <c r="E114" s="6"/>
      <c r="F114" s="6"/>
      <c r="G114" s="6"/>
      <c r="H114" s="7"/>
    </row>
    <row r="115" spans="1:8" ht="14.4" x14ac:dyDescent="0.3">
      <c r="A115" s="16" t="s">
        <v>188</v>
      </c>
      <c r="B115" s="28" t="s">
        <v>189</v>
      </c>
      <c r="C115" s="5"/>
      <c r="D115" s="6"/>
      <c r="E115" s="6"/>
      <c r="F115" s="6"/>
      <c r="G115" s="6"/>
      <c r="H115" s="7"/>
    </row>
    <row r="116" spans="1:8" ht="14.4" x14ac:dyDescent="0.3">
      <c r="A116" s="16" t="s">
        <v>211</v>
      </c>
      <c r="B116" s="10">
        <v>250</v>
      </c>
      <c r="C116" s="5"/>
      <c r="D116" s="6"/>
      <c r="E116" s="6"/>
      <c r="F116" s="6"/>
      <c r="G116" s="6"/>
      <c r="H116" s="29" t="s">
        <v>212</v>
      </c>
    </row>
    <row r="117" spans="1:8" ht="43.2" x14ac:dyDescent="0.3">
      <c r="A117" s="70" t="s">
        <v>213</v>
      </c>
      <c r="B117" s="10">
        <f>(B102/B100)*B116</f>
        <v>140</v>
      </c>
      <c r="C117" s="50"/>
      <c r="D117" s="52"/>
      <c r="E117" s="52"/>
      <c r="F117" s="52"/>
      <c r="G117" s="52"/>
      <c r="H117" s="29" t="s">
        <v>214</v>
      </c>
    </row>
    <row r="118" spans="1:8" ht="43.2" x14ac:dyDescent="0.3">
      <c r="A118" s="16" t="s">
        <v>215</v>
      </c>
      <c r="B118" s="10">
        <f>B117/B101</f>
        <v>0.23333333333333334</v>
      </c>
      <c r="C118" s="5"/>
      <c r="D118" s="6"/>
      <c r="E118" s="6"/>
      <c r="F118" s="6"/>
      <c r="G118" s="6"/>
      <c r="H118" s="29" t="s">
        <v>216</v>
      </c>
    </row>
    <row r="119" spans="1:8" ht="14.4" x14ac:dyDescent="0.3">
      <c r="A119" s="16" t="s">
        <v>217</v>
      </c>
      <c r="B119" s="28" t="s">
        <v>218</v>
      </c>
      <c r="C119" s="5"/>
      <c r="D119" s="6"/>
      <c r="E119" s="6"/>
      <c r="F119" s="6"/>
      <c r="G119" s="6"/>
      <c r="H119" s="7"/>
    </row>
    <row r="120" spans="1:8" ht="28.8" x14ac:dyDescent="0.3">
      <c r="A120" s="16" t="s">
        <v>219</v>
      </c>
      <c r="B120" s="10">
        <v>0.95075500000000002</v>
      </c>
      <c r="C120" s="5"/>
      <c r="D120" s="6"/>
      <c r="E120" s="6"/>
      <c r="F120" s="6"/>
      <c r="G120" s="6"/>
      <c r="H120" s="29" t="s">
        <v>113</v>
      </c>
    </row>
    <row r="121" spans="1:8" s="73" customFormat="1" ht="27" customHeight="1" x14ac:dyDescent="0.3">
      <c r="A121" s="71" t="s">
        <v>220</v>
      </c>
      <c r="B121" s="155">
        <f>B118*B120</f>
        <v>0.22184283333333335</v>
      </c>
      <c r="C121" s="155"/>
      <c r="D121" s="156"/>
      <c r="E121" s="72"/>
      <c r="F121" s="72"/>
      <c r="G121" s="72"/>
      <c r="H121" s="29" t="s">
        <v>221</v>
      </c>
    </row>
    <row r="122" spans="1:8" ht="14.4" x14ac:dyDescent="0.3">
      <c r="A122" s="74"/>
      <c r="B122" s="74"/>
      <c r="C122" s="69"/>
      <c r="D122" s="69"/>
      <c r="E122" s="69"/>
      <c r="F122" s="69"/>
      <c r="G122" s="69"/>
      <c r="H122" s="7"/>
    </row>
    <row r="123" spans="1:8" ht="14.4" x14ac:dyDescent="0.3">
      <c r="A123" s="4" t="s">
        <v>222</v>
      </c>
      <c r="B123" s="14"/>
      <c r="C123" s="5"/>
      <c r="D123" s="6"/>
      <c r="E123" s="6"/>
      <c r="F123" s="6"/>
      <c r="G123" s="6"/>
      <c r="H123" s="7"/>
    </row>
    <row r="124" spans="1:8" ht="14.4" x14ac:dyDescent="0.3">
      <c r="A124" s="16" t="s">
        <v>223</v>
      </c>
      <c r="B124" s="28" t="s">
        <v>224</v>
      </c>
      <c r="C124" s="5"/>
      <c r="D124" s="6"/>
      <c r="E124" s="6"/>
      <c r="F124" s="6"/>
      <c r="G124" s="6"/>
      <c r="H124" s="29" t="s">
        <v>225</v>
      </c>
    </row>
    <row r="125" spans="1:8" ht="14.4" x14ac:dyDescent="0.3">
      <c r="A125" s="16" t="s">
        <v>209</v>
      </c>
      <c r="B125" s="28" t="s">
        <v>226</v>
      </c>
      <c r="C125" s="5"/>
      <c r="D125" s="6"/>
      <c r="E125" s="6"/>
      <c r="F125" s="6"/>
      <c r="G125" s="6"/>
      <c r="H125" s="7"/>
    </row>
    <row r="126" spans="1:8" ht="14.4" x14ac:dyDescent="0.3">
      <c r="A126" s="16" t="s">
        <v>210</v>
      </c>
      <c r="B126" s="28" t="s">
        <v>224</v>
      </c>
      <c r="C126" s="5"/>
      <c r="D126" s="6"/>
      <c r="E126" s="6"/>
      <c r="F126" s="6"/>
      <c r="G126" s="6"/>
      <c r="H126" s="7"/>
    </row>
    <row r="127" spans="1:8" ht="14.4" x14ac:dyDescent="0.3">
      <c r="A127" s="16" t="s">
        <v>73</v>
      </c>
      <c r="B127" s="28" t="s">
        <v>227</v>
      </c>
      <c r="C127" s="5"/>
      <c r="D127" s="6"/>
      <c r="E127" s="6"/>
      <c r="F127" s="6"/>
      <c r="G127" s="6"/>
      <c r="H127" s="7"/>
    </row>
    <row r="128" spans="1:8" ht="14.4" x14ac:dyDescent="0.3">
      <c r="A128" s="16" t="s">
        <v>78</v>
      </c>
      <c r="B128" s="28" t="s">
        <v>228</v>
      </c>
      <c r="C128" s="5"/>
      <c r="D128" s="6"/>
      <c r="E128" s="6"/>
      <c r="F128" s="6"/>
      <c r="G128" s="6"/>
      <c r="H128" s="7"/>
    </row>
    <row r="129" spans="1:15" ht="14.4" x14ac:dyDescent="0.3">
      <c r="A129" s="16" t="s">
        <v>50</v>
      </c>
      <c r="B129" s="10">
        <v>0</v>
      </c>
      <c r="C129" s="5"/>
      <c r="D129" s="6"/>
      <c r="E129" s="6"/>
      <c r="F129" s="6"/>
      <c r="G129" s="6"/>
      <c r="H129" s="29" t="s">
        <v>229</v>
      </c>
    </row>
    <row r="130" spans="1:15" ht="14.4" x14ac:dyDescent="0.3">
      <c r="A130" s="16" t="s">
        <v>217</v>
      </c>
      <c r="B130" s="10" t="s">
        <v>230</v>
      </c>
      <c r="C130" s="5"/>
      <c r="D130" s="6"/>
      <c r="E130" s="6"/>
      <c r="F130" s="6"/>
      <c r="G130" s="6"/>
      <c r="H130" s="7"/>
    </row>
    <row r="131" spans="1:15" ht="43.2" x14ac:dyDescent="0.3">
      <c r="A131" s="16" t="s">
        <v>231</v>
      </c>
      <c r="B131" s="10">
        <f>(B102/B100)*B129</f>
        <v>0</v>
      </c>
      <c r="C131" s="5"/>
      <c r="D131" s="6"/>
      <c r="E131" s="6"/>
      <c r="F131" s="6"/>
      <c r="G131" s="6"/>
      <c r="H131" s="29" t="s">
        <v>232</v>
      </c>
    </row>
    <row r="132" spans="1:15" ht="43.2" x14ac:dyDescent="0.3">
      <c r="A132" s="16" t="s">
        <v>233</v>
      </c>
      <c r="B132" s="10">
        <f>B131/B101</f>
        <v>0</v>
      </c>
      <c r="C132" s="5"/>
      <c r="D132" s="6"/>
      <c r="E132" s="6"/>
      <c r="F132" s="6"/>
      <c r="G132" s="6"/>
      <c r="H132" s="29" t="s">
        <v>234</v>
      </c>
    </row>
    <row r="133" spans="1:15" ht="28.8" x14ac:dyDescent="0.3">
      <c r="A133" s="16" t="s">
        <v>235</v>
      </c>
      <c r="B133" s="10">
        <v>0</v>
      </c>
      <c r="C133" s="5"/>
      <c r="D133" s="6"/>
      <c r="E133" s="6"/>
      <c r="F133" s="6"/>
      <c r="G133" s="6"/>
      <c r="H133" s="29" t="s">
        <v>113</v>
      </c>
    </row>
    <row r="134" spans="1:15" ht="28.8" x14ac:dyDescent="0.3">
      <c r="A134" s="75" t="s">
        <v>236</v>
      </c>
      <c r="B134" s="157">
        <f>B132*B133</f>
        <v>0</v>
      </c>
      <c r="C134" s="157"/>
      <c r="D134" s="158"/>
      <c r="E134" s="76"/>
      <c r="F134" s="76"/>
      <c r="G134" s="76"/>
      <c r="H134" s="29" t="s">
        <v>237</v>
      </c>
    </row>
    <row r="135" spans="1:15" ht="14.4" x14ac:dyDescent="0.3">
      <c r="A135" s="8"/>
      <c r="B135" s="5"/>
      <c r="C135" s="5"/>
      <c r="D135" s="6"/>
      <c r="E135" s="6"/>
      <c r="F135" s="6"/>
      <c r="G135" s="6"/>
      <c r="H135" s="7"/>
    </row>
    <row r="136" spans="1:15" ht="14.4" x14ac:dyDescent="0.3">
      <c r="A136" s="77" t="s">
        <v>238</v>
      </c>
      <c r="B136" s="5"/>
      <c r="C136" s="5"/>
      <c r="D136" s="6"/>
      <c r="E136" s="6"/>
      <c r="F136" s="6"/>
      <c r="G136" s="6"/>
      <c r="H136" s="7"/>
    </row>
    <row r="137" spans="1:15" ht="14.4" x14ac:dyDescent="0.3">
      <c r="A137" s="8" t="s">
        <v>239</v>
      </c>
      <c r="B137" t="s">
        <v>240</v>
      </c>
      <c r="C137" s="10" t="s">
        <v>241</v>
      </c>
      <c r="D137" s="42" t="s">
        <v>242</v>
      </c>
      <c r="E137" s="42"/>
      <c r="F137" s="42"/>
      <c r="G137" s="42"/>
      <c r="H137" s="29" t="s">
        <v>243</v>
      </c>
      <c r="N137" s="30"/>
      <c r="O137" s="30"/>
    </row>
    <row r="138" spans="1:15" ht="14.4" x14ac:dyDescent="0.3">
      <c r="A138" s="8" t="s">
        <v>44</v>
      </c>
      <c r="B138" s="10">
        <v>0</v>
      </c>
      <c r="C138" s="5">
        <v>0</v>
      </c>
      <c r="D138" s="6"/>
      <c r="E138" s="6"/>
      <c r="F138" s="6"/>
      <c r="G138" s="6"/>
      <c r="H138" s="29" t="s">
        <v>245</v>
      </c>
      <c r="N138" s="32"/>
      <c r="O138" s="32"/>
    </row>
    <row r="139" spans="1:15" ht="72" x14ac:dyDescent="0.3">
      <c r="A139" s="8" t="s">
        <v>247</v>
      </c>
      <c r="B139" s="78">
        <f>(B102/B100)*B138</f>
        <v>0</v>
      </c>
      <c r="C139" s="78">
        <f>(B102/B100)*C138</f>
        <v>0</v>
      </c>
      <c r="D139" s="79">
        <f>(B102/B100)*D138</f>
        <v>0</v>
      </c>
      <c r="E139" s="79"/>
      <c r="F139" s="79"/>
      <c r="G139" s="79"/>
      <c r="H139" s="29" t="s">
        <v>248</v>
      </c>
      <c r="I139" s="133" t="s">
        <v>377</v>
      </c>
      <c r="N139" s="32"/>
      <c r="O139" s="32"/>
    </row>
    <row r="140" spans="1:15" ht="43.2" x14ac:dyDescent="0.3">
      <c r="A140" s="8" t="s">
        <v>249</v>
      </c>
      <c r="B140" s="78">
        <f>B139/B101</f>
        <v>0</v>
      </c>
      <c r="C140" s="78">
        <f>C139/B101</f>
        <v>0</v>
      </c>
      <c r="D140" s="79">
        <f>D139/B101</f>
        <v>0</v>
      </c>
      <c r="E140" s="79"/>
      <c r="F140" s="79"/>
      <c r="G140" s="79"/>
      <c r="H140" s="29" t="s">
        <v>250</v>
      </c>
      <c r="N140" s="32"/>
      <c r="O140" s="32"/>
    </row>
    <row r="141" spans="1:15" ht="14.4" x14ac:dyDescent="0.3">
      <c r="A141" s="8" t="s">
        <v>112</v>
      </c>
      <c r="B141" s="78">
        <v>1</v>
      </c>
      <c r="C141" s="80">
        <v>28</v>
      </c>
      <c r="D141" s="81">
        <v>298</v>
      </c>
      <c r="E141" s="81"/>
      <c r="F141" s="81"/>
      <c r="G141" s="81"/>
      <c r="H141" s="29" t="s">
        <v>251</v>
      </c>
      <c r="N141" s="32"/>
      <c r="O141" s="32"/>
    </row>
    <row r="142" spans="1:15" ht="28.8" x14ac:dyDescent="0.3">
      <c r="A142" s="8" t="s">
        <v>114</v>
      </c>
      <c r="B142" s="82">
        <f>B140*B141</f>
        <v>0</v>
      </c>
      <c r="C142" s="10">
        <f>C140*C141</f>
        <v>0</v>
      </c>
      <c r="D142" s="42">
        <f>D140*D141</f>
        <v>0</v>
      </c>
      <c r="E142" s="42"/>
      <c r="F142" s="42"/>
      <c r="G142" s="42"/>
      <c r="H142" s="29" t="s">
        <v>252</v>
      </c>
      <c r="N142" s="32"/>
      <c r="O142" s="32"/>
    </row>
    <row r="143" spans="1:15" ht="14.4" x14ac:dyDescent="0.3">
      <c r="A143" s="20" t="s">
        <v>253</v>
      </c>
      <c r="B143" s="145">
        <f>SUM(B142:D142)</f>
        <v>0</v>
      </c>
      <c r="C143" s="145"/>
      <c r="D143" s="146"/>
      <c r="E143" s="58"/>
      <c r="F143" s="58"/>
      <c r="G143" s="58"/>
      <c r="H143" s="29" t="s">
        <v>254</v>
      </c>
      <c r="N143" s="32"/>
      <c r="O143" s="32"/>
    </row>
    <row r="144" spans="1:15" ht="14.4" x14ac:dyDescent="0.3">
      <c r="A144" s="12"/>
      <c r="B144" s="5"/>
      <c r="C144" s="5"/>
      <c r="D144" s="6"/>
      <c r="E144" s="6"/>
      <c r="F144" s="6"/>
      <c r="G144" s="6"/>
      <c r="H144" s="7"/>
    </row>
    <row r="145" spans="1:8" ht="14.4" x14ac:dyDescent="0.3">
      <c r="A145" s="77" t="s">
        <v>255</v>
      </c>
      <c r="B145" s="5"/>
      <c r="C145" s="5"/>
      <c r="D145" s="6"/>
      <c r="E145" s="6"/>
      <c r="F145" s="6"/>
      <c r="G145" s="6"/>
      <c r="H145" s="7"/>
    </row>
    <row r="146" spans="1:8" ht="14.4" x14ac:dyDescent="0.3">
      <c r="A146" s="12" t="s">
        <v>256</v>
      </c>
      <c r="B146" s="5"/>
      <c r="C146" s="5"/>
      <c r="D146" s="6"/>
      <c r="E146" s="6"/>
      <c r="F146" s="6"/>
      <c r="G146" s="6"/>
      <c r="H146" s="7"/>
    </row>
    <row r="147" spans="1:8" ht="14.4" x14ac:dyDescent="0.3">
      <c r="A147" s="16" t="s">
        <v>209</v>
      </c>
      <c r="B147" s="28" t="s">
        <v>257</v>
      </c>
      <c r="C147" s="5"/>
      <c r="D147" s="6"/>
      <c r="E147" s="6"/>
      <c r="F147" s="6"/>
      <c r="G147" s="6"/>
      <c r="H147" s="29" t="s">
        <v>258</v>
      </c>
    </row>
    <row r="148" spans="1:8" ht="14.4" x14ac:dyDescent="0.3">
      <c r="A148" s="16" t="s">
        <v>210</v>
      </c>
      <c r="B148" s="28" t="s">
        <v>259</v>
      </c>
      <c r="C148" s="5"/>
      <c r="D148" s="6"/>
      <c r="E148" s="6"/>
      <c r="F148" s="6"/>
      <c r="G148" s="6"/>
      <c r="H148" s="7"/>
    </row>
    <row r="149" spans="1:8" ht="14.4" x14ac:dyDescent="0.3">
      <c r="A149" s="16" t="s">
        <v>73</v>
      </c>
      <c r="B149" s="28" t="s">
        <v>260</v>
      </c>
      <c r="C149" s="5"/>
      <c r="D149" s="6"/>
      <c r="E149" s="6"/>
      <c r="F149" s="6"/>
      <c r="G149" s="6"/>
      <c r="H149" s="7"/>
    </row>
    <row r="150" spans="1:8" ht="14.4" x14ac:dyDescent="0.3">
      <c r="A150" s="16" t="s">
        <v>78</v>
      </c>
      <c r="B150" s="28" t="s">
        <v>261</v>
      </c>
      <c r="C150" s="5"/>
      <c r="D150" s="6"/>
      <c r="E150" s="6"/>
      <c r="F150" s="6"/>
      <c r="G150" s="6"/>
      <c r="H150" s="7"/>
    </row>
    <row r="151" spans="1:8" ht="14.4" x14ac:dyDescent="0.3">
      <c r="A151" s="16" t="s">
        <v>50</v>
      </c>
      <c r="B151" s="5">
        <v>0</v>
      </c>
      <c r="C151" s="5"/>
      <c r="D151" s="6"/>
      <c r="E151" s="6"/>
      <c r="F151" s="6"/>
      <c r="G151" s="6"/>
      <c r="H151" s="29" t="s">
        <v>262</v>
      </c>
    </row>
    <row r="152" spans="1:8" ht="14.4" x14ac:dyDescent="0.3">
      <c r="A152" s="16" t="s">
        <v>217</v>
      </c>
      <c r="B152" s="5" t="s">
        <v>230</v>
      </c>
      <c r="C152" s="5"/>
      <c r="D152" s="6"/>
      <c r="E152" s="6"/>
      <c r="F152" s="6"/>
      <c r="G152" s="6"/>
      <c r="H152" s="7"/>
    </row>
    <row r="153" spans="1:8" ht="43.2" x14ac:dyDescent="0.3">
      <c r="A153" s="12" t="s">
        <v>263</v>
      </c>
      <c r="B153" s="5">
        <f>(B102/B100)*B151</f>
        <v>0</v>
      </c>
      <c r="C153" s="5"/>
      <c r="D153" s="6"/>
      <c r="E153" s="6"/>
      <c r="F153" s="6"/>
      <c r="G153" s="6"/>
      <c r="H153" s="29" t="s">
        <v>264</v>
      </c>
    </row>
    <row r="154" spans="1:8" ht="43.2" x14ac:dyDescent="0.3">
      <c r="A154" s="12" t="s">
        <v>265</v>
      </c>
      <c r="B154" s="5">
        <f>B153/B101</f>
        <v>0</v>
      </c>
      <c r="C154" s="5"/>
      <c r="D154" s="6"/>
      <c r="E154" s="6"/>
      <c r="F154" s="6"/>
      <c r="G154" s="6"/>
      <c r="H154" s="29" t="s">
        <v>266</v>
      </c>
    </row>
    <row r="155" spans="1:8" ht="28.8" x14ac:dyDescent="0.3">
      <c r="A155" s="12" t="s">
        <v>267</v>
      </c>
      <c r="B155" s="28">
        <v>1.371027</v>
      </c>
      <c r="C155" s="5"/>
      <c r="D155" s="6"/>
      <c r="E155" s="6"/>
      <c r="F155" s="6"/>
      <c r="G155" s="6"/>
      <c r="H155" s="29" t="s">
        <v>113</v>
      </c>
    </row>
    <row r="156" spans="1:8" ht="28.8" x14ac:dyDescent="0.3">
      <c r="A156" s="20" t="s">
        <v>268</v>
      </c>
      <c r="B156" s="146">
        <f>B154*B155</f>
        <v>0</v>
      </c>
      <c r="C156" s="159"/>
      <c r="D156" s="159"/>
      <c r="E156" s="83"/>
      <c r="F156" s="83"/>
      <c r="G156" s="83"/>
      <c r="H156" s="29" t="s">
        <v>269</v>
      </c>
    </row>
    <row r="157" spans="1:8" ht="14.4" x14ac:dyDescent="0.3">
      <c r="A157" s="5"/>
      <c r="B157" s="5"/>
      <c r="C157" s="5"/>
      <c r="D157" s="6"/>
      <c r="E157" s="6"/>
      <c r="F157" s="6"/>
      <c r="G157" s="6"/>
      <c r="H157" s="7"/>
    </row>
    <row r="158" spans="1:8" ht="14.4" x14ac:dyDescent="0.3">
      <c r="A158" s="84" t="s">
        <v>270</v>
      </c>
      <c r="B158" s="85"/>
      <c r="C158" s="85"/>
      <c r="D158" s="86"/>
      <c r="E158" s="86"/>
      <c r="F158" s="86"/>
      <c r="G158" s="86"/>
      <c r="H158" s="7"/>
    </row>
    <row r="159" spans="1:8" ht="14.4" x14ac:dyDescent="0.3">
      <c r="A159" s="8" t="s">
        <v>62</v>
      </c>
      <c r="B159" s="28" t="s">
        <v>124</v>
      </c>
      <c r="C159" s="28" t="s">
        <v>124</v>
      </c>
      <c r="D159" s="28" t="s">
        <v>124</v>
      </c>
      <c r="E159" s="28"/>
      <c r="F159" s="28"/>
      <c r="G159" s="28"/>
      <c r="H159" s="29" t="s">
        <v>271</v>
      </c>
    </row>
    <row r="160" spans="1:8" ht="14.4" x14ac:dyDescent="0.3">
      <c r="A160" s="8" t="s">
        <v>67</v>
      </c>
      <c r="B160" s="28" t="s">
        <v>126</v>
      </c>
      <c r="C160" s="28" t="s">
        <v>378</v>
      </c>
      <c r="D160" s="28" t="s">
        <v>126</v>
      </c>
      <c r="E160" s="28"/>
      <c r="F160" s="28"/>
      <c r="G160" s="28"/>
      <c r="H160" s="7"/>
    </row>
    <row r="161" spans="1:8" ht="14.4" x14ac:dyDescent="0.3">
      <c r="A161" s="8" t="s">
        <v>73</v>
      </c>
      <c r="B161" s="28" t="s">
        <v>169</v>
      </c>
      <c r="C161" s="28" t="s">
        <v>379</v>
      </c>
      <c r="D161" s="28" t="s">
        <v>169</v>
      </c>
      <c r="E161" s="28"/>
      <c r="F161" s="28"/>
      <c r="G161" s="28"/>
      <c r="H161" s="7"/>
    </row>
    <row r="162" spans="1:8" ht="14.4" x14ac:dyDescent="0.3">
      <c r="A162" s="8" t="s">
        <v>78</v>
      </c>
      <c r="B162" s="28" t="s">
        <v>134</v>
      </c>
      <c r="C162" s="28" t="s">
        <v>380</v>
      </c>
      <c r="D162" s="28" t="s">
        <v>418</v>
      </c>
      <c r="E162" s="28"/>
      <c r="F162" s="28"/>
      <c r="G162" s="28"/>
      <c r="H162" s="7"/>
    </row>
    <row r="163" spans="1:8" ht="28.8" x14ac:dyDescent="0.3">
      <c r="A163" s="59" t="s">
        <v>172</v>
      </c>
      <c r="B163" s="3" t="s">
        <v>388</v>
      </c>
      <c r="C163" s="60" t="s">
        <v>381</v>
      </c>
      <c r="D163" s="60" t="s">
        <v>395</v>
      </c>
      <c r="E163" s="37"/>
      <c r="F163" s="37"/>
      <c r="G163" s="37"/>
      <c r="H163" s="29" t="s">
        <v>272</v>
      </c>
    </row>
    <row r="164" spans="1:8" ht="57.6" x14ac:dyDescent="0.3">
      <c r="A164" s="59" t="s">
        <v>174</v>
      </c>
      <c r="B164" s="60" t="s">
        <v>381</v>
      </c>
      <c r="C164" s="60" t="s">
        <v>395</v>
      </c>
      <c r="D164" s="60" t="s">
        <v>396</v>
      </c>
      <c r="E164" s="7"/>
      <c r="F164" s="66"/>
      <c r="G164" s="66"/>
      <c r="H164" s="7"/>
    </row>
    <row r="165" spans="1:8" ht="14.4" x14ac:dyDescent="0.3">
      <c r="A165" s="61" t="s">
        <v>175</v>
      </c>
      <c r="B165" s="85"/>
      <c r="C165" s="60"/>
      <c r="D165" s="60"/>
      <c r="E165" s="85"/>
      <c r="F165" s="86"/>
      <c r="G165" s="86"/>
      <c r="H165" s="7"/>
    </row>
    <row r="166" spans="1:8" ht="28.8" x14ac:dyDescent="0.3">
      <c r="A166" s="61" t="s">
        <v>274</v>
      </c>
      <c r="B166" s="51">
        <f>B23+B72</f>
        <v>3.3499999999999996</v>
      </c>
      <c r="C166" s="60">
        <f>B23+B72</f>
        <v>3.3499999999999996</v>
      </c>
      <c r="D166" s="60">
        <f>B23+B72</f>
        <v>3.3499999999999996</v>
      </c>
      <c r="E166" s="60"/>
      <c r="F166" s="60"/>
      <c r="G166" s="60"/>
      <c r="H166" s="29" t="s">
        <v>275</v>
      </c>
    </row>
    <row r="167" spans="1:8" ht="28.8" x14ac:dyDescent="0.3">
      <c r="A167" s="61" t="s">
        <v>177</v>
      </c>
      <c r="B167" s="134">
        <f>B166/1000</f>
        <v>3.3499999999999997E-3</v>
      </c>
      <c r="C167" s="60">
        <f>C166/1000</f>
        <v>3.3499999999999997E-3</v>
      </c>
      <c r="D167" s="60">
        <f>D166/1000</f>
        <v>3.3499999999999997E-3</v>
      </c>
      <c r="E167" s="60"/>
      <c r="F167" s="60"/>
      <c r="G167" s="60"/>
      <c r="H167" s="29" t="s">
        <v>276</v>
      </c>
    </row>
    <row r="168" spans="1:8" ht="28.8" x14ac:dyDescent="0.3">
      <c r="A168" s="61" t="s">
        <v>178</v>
      </c>
      <c r="B168" s="51">
        <v>71</v>
      </c>
      <c r="C168" s="51">
        <v>1973</v>
      </c>
      <c r="D168" s="51">
        <v>90</v>
      </c>
      <c r="E168" s="86"/>
      <c r="F168" s="86"/>
      <c r="G168" s="86"/>
      <c r="H168" s="29" t="s">
        <v>277</v>
      </c>
    </row>
    <row r="169" spans="1:8" ht="28.8" x14ac:dyDescent="0.3">
      <c r="A169" s="59" t="s">
        <v>143</v>
      </c>
      <c r="B169" s="51">
        <v>0.41136899999999998</v>
      </c>
      <c r="C169" s="51">
        <v>3.2052999999999998E-2</v>
      </c>
      <c r="D169" s="51">
        <v>0.41136899999999998</v>
      </c>
      <c r="E169" s="51"/>
      <c r="F169" s="51"/>
      <c r="G169" s="51"/>
      <c r="H169" s="29" t="s">
        <v>113</v>
      </c>
    </row>
    <row r="170" spans="1:8" ht="28.8" x14ac:dyDescent="0.3">
      <c r="A170" s="61" t="s">
        <v>144</v>
      </c>
      <c r="B170" s="89">
        <f>B167*B168*B169</f>
        <v>9.7844116649999993E-2</v>
      </c>
      <c r="C170" s="89">
        <f>C167*C168*C169</f>
        <v>0.21185590614999997</v>
      </c>
      <c r="D170" s="90">
        <f>D167*D168*D169</f>
        <v>0.12402775349999999</v>
      </c>
      <c r="E170" s="90"/>
      <c r="F170" s="90"/>
      <c r="G170" s="90"/>
      <c r="H170" s="29" t="s">
        <v>278</v>
      </c>
    </row>
    <row r="171" spans="1:8" ht="14.4" x14ac:dyDescent="0.3">
      <c r="A171" s="38" t="s">
        <v>145</v>
      </c>
      <c r="B171" s="148">
        <f>SUM(B170:D170)</f>
        <v>0.43372777629999998</v>
      </c>
      <c r="C171" s="148"/>
      <c r="D171" s="149"/>
      <c r="E171" s="91"/>
      <c r="F171" s="91"/>
      <c r="G171" s="91"/>
      <c r="H171" s="29" t="s">
        <v>279</v>
      </c>
    </row>
    <row r="172" spans="1:8" ht="14.4" x14ac:dyDescent="0.3">
      <c r="A172" s="92"/>
      <c r="B172" s="93"/>
      <c r="C172" s="93"/>
      <c r="D172" s="94"/>
      <c r="E172" s="94"/>
      <c r="F172" s="94"/>
      <c r="G172" s="94"/>
      <c r="H172" s="7"/>
    </row>
    <row r="173" spans="1:8" ht="14.4" x14ac:dyDescent="0.3">
      <c r="A173" s="95" t="s">
        <v>280</v>
      </c>
      <c r="B173" s="7"/>
      <c r="C173" s="7"/>
      <c r="D173" s="66"/>
      <c r="E173" s="66"/>
      <c r="F173" s="66"/>
      <c r="G173" s="66"/>
      <c r="H173" s="7"/>
    </row>
    <row r="174" spans="1:8" ht="14.4" x14ac:dyDescent="0.3">
      <c r="A174" s="96" t="s">
        <v>281</v>
      </c>
      <c r="B174" s="28"/>
      <c r="C174" s="7"/>
      <c r="D174" s="66"/>
      <c r="E174" s="66"/>
      <c r="F174" s="66"/>
      <c r="G174" s="66"/>
      <c r="H174" s="29" t="s">
        <v>282</v>
      </c>
    </row>
    <row r="175" spans="1:8" ht="14.4" x14ac:dyDescent="0.3">
      <c r="A175" s="96" t="s">
        <v>283</v>
      </c>
      <c r="B175" s="28"/>
      <c r="C175" s="7"/>
      <c r="D175" s="66"/>
      <c r="E175" s="66"/>
      <c r="F175" s="66"/>
      <c r="G175" s="66"/>
      <c r="H175" s="7"/>
    </row>
    <row r="176" spans="1:8" ht="14.4" x14ac:dyDescent="0.3">
      <c r="A176" s="96" t="s">
        <v>284</v>
      </c>
      <c r="B176" s="5"/>
      <c r="C176" s="7"/>
      <c r="D176" s="66"/>
      <c r="E176" s="66"/>
      <c r="F176" s="66"/>
      <c r="G176" s="66"/>
      <c r="H176" s="29" t="s">
        <v>285</v>
      </c>
    </row>
    <row r="177" spans="1:14" ht="14.4" x14ac:dyDescent="0.3">
      <c r="A177" s="96" t="s">
        <v>286</v>
      </c>
      <c r="B177" s="97"/>
      <c r="C177" s="7"/>
      <c r="D177" s="66"/>
      <c r="E177" s="66"/>
      <c r="F177" s="66"/>
      <c r="G177" s="66"/>
      <c r="H177" s="29" t="s">
        <v>287</v>
      </c>
    </row>
    <row r="178" spans="1:14" ht="14.4" x14ac:dyDescent="0.3">
      <c r="A178" s="96" t="s">
        <v>288</v>
      </c>
      <c r="B178" s="5"/>
      <c r="C178" s="7"/>
      <c r="D178" s="66"/>
      <c r="E178" s="66"/>
      <c r="F178" s="66"/>
      <c r="G178" s="66"/>
      <c r="H178" s="29" t="s">
        <v>289</v>
      </c>
    </row>
    <row r="179" spans="1:14" ht="14.4" x14ac:dyDescent="0.3">
      <c r="A179" s="96" t="s">
        <v>290</v>
      </c>
      <c r="B179" s="5"/>
      <c r="C179" s="7"/>
      <c r="D179" s="66"/>
      <c r="E179" s="66"/>
      <c r="F179" s="66"/>
      <c r="G179" s="66"/>
      <c r="H179" s="29" t="s">
        <v>291</v>
      </c>
    </row>
    <row r="180" spans="1:14" ht="14.4" x14ac:dyDescent="0.3">
      <c r="A180" s="96"/>
      <c r="B180" s="7"/>
      <c r="C180" s="7"/>
      <c r="D180" s="66"/>
      <c r="E180" s="66"/>
      <c r="F180" s="66"/>
      <c r="G180" s="66"/>
      <c r="H180" s="7"/>
      <c r="J180" t="s">
        <v>50</v>
      </c>
      <c r="K180">
        <v>1500</v>
      </c>
    </row>
    <row r="181" spans="1:14" ht="28.8" x14ac:dyDescent="0.3">
      <c r="A181" s="95" t="s">
        <v>292</v>
      </c>
      <c r="B181" s="98" t="s">
        <v>293</v>
      </c>
      <c r="C181" s="98"/>
      <c r="D181" s="98"/>
      <c r="E181" s="98"/>
      <c r="F181" s="98"/>
      <c r="G181" s="98"/>
      <c r="H181" s="98"/>
      <c r="I181" s="98"/>
      <c r="J181" s="3" t="s">
        <v>294</v>
      </c>
      <c r="K181">
        <v>2</v>
      </c>
    </row>
    <row r="182" spans="1:14" ht="43.2" x14ac:dyDescent="0.3">
      <c r="A182" s="140" t="s">
        <v>399</v>
      </c>
      <c r="B182" s="7">
        <v>1500</v>
      </c>
      <c r="C182" s="99"/>
      <c r="D182" s="100"/>
      <c r="E182" s="100"/>
      <c r="F182" s="100"/>
      <c r="G182" s="100"/>
      <c r="H182" s="29" t="s">
        <v>295</v>
      </c>
      <c r="I182" s="100"/>
      <c r="J182" s="3"/>
    </row>
    <row r="183" spans="1:14" ht="28.8" x14ac:dyDescent="0.3">
      <c r="A183" s="140" t="s">
        <v>400</v>
      </c>
      <c r="B183" s="139">
        <f>B103</f>
        <v>0.56000000000000005</v>
      </c>
      <c r="C183" s="99"/>
      <c r="D183" s="100"/>
      <c r="E183" s="100"/>
      <c r="F183" s="100"/>
      <c r="G183" s="100"/>
      <c r="H183" s="137"/>
      <c r="I183" s="100"/>
      <c r="J183" s="3"/>
    </row>
    <row r="184" spans="1:14" ht="14.4" x14ac:dyDescent="0.3">
      <c r="A184" s="98" t="s">
        <v>398</v>
      </c>
      <c r="B184" s="7">
        <f>B182*B183</f>
        <v>840.00000000000011</v>
      </c>
      <c r="C184" s="99"/>
      <c r="D184" s="100"/>
      <c r="E184" s="100"/>
      <c r="F184" s="100"/>
      <c r="G184" s="100"/>
      <c r="H184" s="137"/>
      <c r="I184" s="100"/>
      <c r="J184" s="3"/>
    </row>
    <row r="185" spans="1:14" ht="14.4" x14ac:dyDescent="0.3">
      <c r="A185" s="98"/>
      <c r="B185" s="99" t="s">
        <v>369</v>
      </c>
      <c r="C185" s="121" t="s">
        <v>370</v>
      </c>
      <c r="D185" s="121" t="s">
        <v>371</v>
      </c>
      <c r="E185" s="99"/>
      <c r="F185" s="99"/>
      <c r="G185" s="99"/>
      <c r="H185" s="99"/>
      <c r="I185" s="100"/>
      <c r="J185" s="3"/>
    </row>
    <row r="186" spans="1:14" ht="14.4" x14ac:dyDescent="0.3">
      <c r="A186" s="98" t="s">
        <v>298</v>
      </c>
      <c r="B186" s="7">
        <f>B184*B35</f>
        <v>494.76000000000005</v>
      </c>
      <c r="C186" s="7">
        <f>B184*C35</f>
        <v>225.12000000000003</v>
      </c>
      <c r="D186" s="101">
        <f>B184*D35</f>
        <v>120.12</v>
      </c>
      <c r="E186" s="101">
        <f>B182*E35</f>
        <v>0</v>
      </c>
      <c r="F186" s="101">
        <f>B182*F35</f>
        <v>0</v>
      </c>
      <c r="G186" s="101">
        <f>B182*G35</f>
        <v>0</v>
      </c>
      <c r="H186" s="99"/>
      <c r="I186" s="100"/>
      <c r="J186" s="3"/>
    </row>
    <row r="187" spans="1:14" ht="14.4" x14ac:dyDescent="0.3">
      <c r="A187" s="98" t="s">
        <v>299</v>
      </c>
      <c r="B187" s="7">
        <f>B101</f>
        <v>600</v>
      </c>
      <c r="C187" s="7">
        <f>B101</f>
        <v>600</v>
      </c>
      <c r="D187" s="7">
        <f>B101</f>
        <v>600</v>
      </c>
      <c r="E187" s="7">
        <v>0</v>
      </c>
      <c r="F187" s="7">
        <v>0</v>
      </c>
      <c r="G187" s="7">
        <v>0</v>
      </c>
      <c r="H187" s="29" t="s">
        <v>300</v>
      </c>
      <c r="I187" s="66"/>
      <c r="J187" s="3"/>
    </row>
    <row r="188" spans="1:14" ht="14.4" x14ac:dyDescent="0.3">
      <c r="A188" s="98" t="s">
        <v>301</v>
      </c>
      <c r="B188" s="7">
        <f>B186/B187</f>
        <v>0.82460000000000011</v>
      </c>
      <c r="C188" s="7">
        <f>C186/C187</f>
        <v>0.37520000000000003</v>
      </c>
      <c r="D188" s="7">
        <f>D186/D187</f>
        <v>0.20020000000000002</v>
      </c>
      <c r="E188" s="7">
        <v>0</v>
      </c>
      <c r="F188" s="7">
        <v>0</v>
      </c>
      <c r="G188" s="7">
        <v>0</v>
      </c>
      <c r="H188" s="29" t="s">
        <v>302</v>
      </c>
      <c r="I188" s="66"/>
      <c r="J188" s="3"/>
    </row>
    <row r="189" spans="1:14" ht="28.8" x14ac:dyDescent="0.3">
      <c r="A189" s="8" t="s">
        <v>62</v>
      </c>
      <c r="B189" s="28" t="s">
        <v>303</v>
      </c>
      <c r="C189" s="28" t="s">
        <v>303</v>
      </c>
      <c r="D189" s="28" t="s">
        <v>303</v>
      </c>
      <c r="E189" s="102"/>
      <c r="F189" s="102"/>
      <c r="G189" s="102"/>
      <c r="H189" s="29" t="s">
        <v>304</v>
      </c>
      <c r="J189" s="3" t="s">
        <v>305</v>
      </c>
      <c r="K189" s="37">
        <v>500</v>
      </c>
    </row>
    <row r="190" spans="1:14" ht="14.4" x14ac:dyDescent="0.3">
      <c r="A190" s="8" t="s">
        <v>67</v>
      </c>
      <c r="B190" s="28" t="s">
        <v>306</v>
      </c>
      <c r="C190" s="28" t="s">
        <v>306</v>
      </c>
      <c r="D190" s="28" t="s">
        <v>306</v>
      </c>
      <c r="E190" s="102"/>
      <c r="F190" s="102"/>
      <c r="G190" s="102"/>
      <c r="H190" s="7"/>
      <c r="K190" t="s">
        <v>307</v>
      </c>
      <c r="L190" t="s">
        <v>308</v>
      </c>
      <c r="M190" t="s">
        <v>309</v>
      </c>
    </row>
    <row r="191" spans="1:14" ht="14.4" x14ac:dyDescent="0.3">
      <c r="A191" s="8" t="s">
        <v>73</v>
      </c>
      <c r="B191" s="28" t="s">
        <v>408</v>
      </c>
      <c r="C191" s="28" t="s">
        <v>408</v>
      </c>
      <c r="D191" s="28" t="s">
        <v>410</v>
      </c>
      <c r="E191" s="37"/>
      <c r="F191" s="102"/>
      <c r="G191" s="102"/>
      <c r="H191" s="7"/>
      <c r="K191">
        <f>K189*B35</f>
        <v>294.5</v>
      </c>
      <c r="L191">
        <f>K189*C35</f>
        <v>134</v>
      </c>
      <c r="M191">
        <f>K189*D35</f>
        <v>71.5</v>
      </c>
      <c r="N191" t="s">
        <v>311</v>
      </c>
    </row>
    <row r="192" spans="1:14" ht="28.8" x14ac:dyDescent="0.3">
      <c r="A192" s="8" t="s">
        <v>78</v>
      </c>
      <c r="B192" s="28" t="s">
        <v>409</v>
      </c>
      <c r="C192" s="28" t="s">
        <v>409</v>
      </c>
      <c r="D192" s="28" t="s">
        <v>411</v>
      </c>
      <c r="E192" s="102"/>
      <c r="F192" s="102"/>
      <c r="G192" s="102"/>
      <c r="H192" s="7"/>
      <c r="J192" s="3" t="s">
        <v>313</v>
      </c>
      <c r="K192" s="103">
        <f>K191/K180</f>
        <v>0.19633333333333333</v>
      </c>
      <c r="L192">
        <f>L191/K180</f>
        <v>8.9333333333333334E-2</v>
      </c>
      <c r="M192" s="103">
        <f>M191/K180</f>
        <v>4.766666666666667E-2</v>
      </c>
      <c r="N192" t="s">
        <v>311</v>
      </c>
    </row>
    <row r="193" spans="1:12" ht="28.8" x14ac:dyDescent="0.3">
      <c r="A193" s="104" t="s">
        <v>314</v>
      </c>
      <c r="B193" s="85">
        <f>B188</f>
        <v>0.82460000000000011</v>
      </c>
      <c r="C193" s="85">
        <f>C188</f>
        <v>0.37520000000000003</v>
      </c>
      <c r="D193" s="86">
        <f>D188</f>
        <v>0.20020000000000002</v>
      </c>
      <c r="E193" s="102"/>
      <c r="F193" s="102"/>
      <c r="G193" s="102"/>
      <c r="H193" s="29" t="s">
        <v>315</v>
      </c>
      <c r="J193" s="3" t="s">
        <v>316</v>
      </c>
      <c r="K193" s="103">
        <f>SUM(K192:M192)</f>
        <v>0.33333333333333337</v>
      </c>
      <c r="L193" t="s">
        <v>317</v>
      </c>
    </row>
    <row r="194" spans="1:12" ht="28.8" x14ac:dyDescent="0.3">
      <c r="A194" s="105" t="s">
        <v>318</v>
      </c>
      <c r="B194" s="85">
        <v>3.813E-3</v>
      </c>
      <c r="C194" s="85">
        <v>3.813E-3</v>
      </c>
      <c r="D194" s="85">
        <v>2.7390979999999998</v>
      </c>
      <c r="E194" s="102"/>
      <c r="F194" s="102"/>
      <c r="G194" s="102"/>
      <c r="H194" s="29" t="s">
        <v>113</v>
      </c>
    </row>
    <row r="195" spans="1:12" ht="14.4" x14ac:dyDescent="0.3">
      <c r="A195" s="105"/>
      <c r="B195" s="85">
        <f>B193*B194</f>
        <v>3.1441998000000006E-3</v>
      </c>
      <c r="C195" s="85">
        <f>C193*C194</f>
        <v>1.4306376000000002E-3</v>
      </c>
      <c r="D195" s="86">
        <f>D193*D194</f>
        <v>0.54836741960000002</v>
      </c>
      <c r="E195" s="102"/>
      <c r="F195" s="102"/>
      <c r="G195" s="102"/>
      <c r="H195" s="29"/>
    </row>
    <row r="196" spans="1:12" ht="14.4" x14ac:dyDescent="0.3">
      <c r="A196" s="104" t="s">
        <v>319</v>
      </c>
      <c r="B196" s="106">
        <f>SUM(B195:D195)</f>
        <v>0.55294225699999999</v>
      </c>
      <c r="C196" s="37"/>
      <c r="D196" s="102"/>
      <c r="E196" s="102"/>
      <c r="F196" s="102"/>
      <c r="G196" s="102"/>
      <c r="H196" s="7"/>
      <c r="J196" s="3"/>
    </row>
    <row r="197" spans="1:12" ht="14.4" x14ac:dyDescent="0.3">
      <c r="A197" s="98" t="s">
        <v>320</v>
      </c>
      <c r="B197" s="107"/>
      <c r="C197" s="37"/>
      <c r="D197" s="102"/>
      <c r="E197" s="102"/>
      <c r="F197" s="102"/>
      <c r="G197" s="102"/>
      <c r="H197" s="7"/>
    </row>
    <row r="198" spans="1:12" ht="43.2" x14ac:dyDescent="0.3">
      <c r="A198" s="140" t="s">
        <v>399</v>
      </c>
      <c r="B198" s="139">
        <v>0.66659999999999997</v>
      </c>
      <c r="C198" s="37"/>
      <c r="D198" s="102"/>
      <c r="E198" s="102"/>
      <c r="F198" s="102"/>
      <c r="G198" s="102"/>
      <c r="H198" s="7"/>
    </row>
    <row r="199" spans="1:12" ht="14.4" x14ac:dyDescent="0.3">
      <c r="A199" s="140" t="s">
        <v>404</v>
      </c>
      <c r="B199" s="144">
        <v>1500</v>
      </c>
      <c r="C199" s="37"/>
      <c r="D199" s="102"/>
      <c r="E199" s="102"/>
      <c r="F199" s="102"/>
      <c r="G199" s="102"/>
      <c r="H199" s="7"/>
    </row>
    <row r="200" spans="1:12" ht="28.8" x14ac:dyDescent="0.3">
      <c r="A200" s="140" t="s">
        <v>400</v>
      </c>
      <c r="B200" s="107">
        <f>B103</f>
        <v>0.56000000000000005</v>
      </c>
      <c r="C200" s="37"/>
      <c r="D200" s="102"/>
      <c r="E200" s="102"/>
      <c r="F200" s="102"/>
      <c r="G200" s="102"/>
      <c r="H200" s="7"/>
    </row>
    <row r="201" spans="1:12" ht="14.4" x14ac:dyDescent="0.3">
      <c r="A201" s="105" t="s">
        <v>407</v>
      </c>
      <c r="B201" s="144">
        <f>B199*B200</f>
        <v>840.00000000000011</v>
      </c>
      <c r="C201" s="37"/>
      <c r="D201" s="102"/>
      <c r="E201" s="102"/>
      <c r="F201" s="102"/>
      <c r="G201" s="102"/>
      <c r="H201" s="7"/>
    </row>
    <row r="202" spans="1:12" ht="14.4" x14ac:dyDescent="0.3">
      <c r="A202" s="98"/>
      <c r="B202" s="143" t="s">
        <v>369</v>
      </c>
      <c r="C202" s="143" t="s">
        <v>370</v>
      </c>
      <c r="D202" s="143" t="s">
        <v>371</v>
      </c>
      <c r="E202" s="102"/>
      <c r="F202" s="102"/>
      <c r="G202" s="102"/>
      <c r="H202" s="7"/>
    </row>
    <row r="203" spans="1:12" ht="14.4" x14ac:dyDescent="0.3">
      <c r="A203" s="98" t="s">
        <v>298</v>
      </c>
      <c r="B203" s="102">
        <f>B201*B35</f>
        <v>494.76000000000005</v>
      </c>
      <c r="C203" s="102">
        <f>B201*C35</f>
        <v>225.12000000000003</v>
      </c>
      <c r="D203" s="102">
        <f>B201*D35</f>
        <v>120.12</v>
      </c>
      <c r="E203" s="102"/>
      <c r="F203" s="102"/>
      <c r="G203" s="102"/>
      <c r="H203" s="7"/>
    </row>
    <row r="204" spans="1:12" ht="14.4" x14ac:dyDescent="0.3">
      <c r="A204" s="98" t="s">
        <v>299</v>
      </c>
      <c r="B204" s="102">
        <f>B101</f>
        <v>600</v>
      </c>
      <c r="C204" s="102">
        <f>B101</f>
        <v>600</v>
      </c>
      <c r="D204" s="102">
        <f>B101</f>
        <v>600</v>
      </c>
      <c r="E204" s="102"/>
      <c r="F204" s="102"/>
      <c r="G204" s="102"/>
      <c r="H204" s="7"/>
    </row>
    <row r="205" spans="1:12" ht="14.4" x14ac:dyDescent="0.3">
      <c r="A205" s="98" t="s">
        <v>301</v>
      </c>
      <c r="B205">
        <f>B203/B204</f>
        <v>0.82460000000000011</v>
      </c>
      <c r="C205">
        <f>C203/C204</f>
        <v>0.37520000000000003</v>
      </c>
      <c r="D205">
        <f>D203/D204</f>
        <v>0.20020000000000002</v>
      </c>
      <c r="E205" s="102"/>
      <c r="F205" s="102"/>
      <c r="G205" s="102"/>
      <c r="H205" s="7"/>
    </row>
    <row r="206" spans="1:12" ht="14.4" x14ac:dyDescent="0.3">
      <c r="A206" s="8" t="s">
        <v>62</v>
      </c>
      <c r="B206" s="28" t="s">
        <v>303</v>
      </c>
      <c r="C206" s="28" t="s">
        <v>303</v>
      </c>
      <c r="D206" s="28" t="s">
        <v>303</v>
      </c>
      <c r="E206" s="102"/>
      <c r="F206" s="102"/>
      <c r="G206" s="102"/>
      <c r="H206" s="7"/>
    </row>
    <row r="207" spans="1:12" ht="14.4" x14ac:dyDescent="0.3">
      <c r="A207" s="8" t="s">
        <v>67</v>
      </c>
      <c r="B207" s="28" t="s">
        <v>306</v>
      </c>
      <c r="C207" s="28" t="s">
        <v>306</v>
      </c>
      <c r="D207" s="28" t="s">
        <v>306</v>
      </c>
      <c r="E207" s="102"/>
      <c r="F207" s="102"/>
      <c r="G207" s="102"/>
      <c r="H207" s="7"/>
    </row>
    <row r="208" spans="1:12" ht="14.4" x14ac:dyDescent="0.3">
      <c r="A208" s="8" t="s">
        <v>73</v>
      </c>
      <c r="B208" s="28" t="s">
        <v>408</v>
      </c>
      <c r="C208" s="28" t="s">
        <v>408</v>
      </c>
      <c r="D208" s="28" t="s">
        <v>410</v>
      </c>
      <c r="E208" s="102"/>
      <c r="F208" s="102"/>
      <c r="G208" s="102"/>
      <c r="H208" s="7"/>
    </row>
    <row r="209" spans="1:22" ht="14.4" x14ac:dyDescent="0.3">
      <c r="A209" s="8" t="s">
        <v>78</v>
      </c>
      <c r="B209" s="28" t="s">
        <v>409</v>
      </c>
      <c r="C209" s="28" t="s">
        <v>409</v>
      </c>
      <c r="D209" s="28" t="s">
        <v>411</v>
      </c>
      <c r="E209" s="102"/>
      <c r="F209" s="102"/>
      <c r="G209" s="102"/>
      <c r="H209" s="7"/>
    </row>
    <row r="210" spans="1:22" ht="14.4" x14ac:dyDescent="0.3">
      <c r="A210" s="105" t="s">
        <v>322</v>
      </c>
      <c r="B210" s="7">
        <f>B205</f>
        <v>0.82460000000000011</v>
      </c>
      <c r="C210" s="37">
        <f>C205</f>
        <v>0.37520000000000003</v>
      </c>
      <c r="D210" s="102">
        <f>D205</f>
        <v>0.20020000000000002</v>
      </c>
      <c r="E210" s="102"/>
      <c r="F210" s="102"/>
      <c r="G210" s="102"/>
      <c r="H210" s="7"/>
    </row>
    <row r="211" spans="1:22" ht="14.4" x14ac:dyDescent="0.3">
      <c r="A211" s="105" t="s">
        <v>323</v>
      </c>
      <c r="B211" s="7">
        <v>3.813E-3</v>
      </c>
      <c r="C211" s="7">
        <v>3.813E-3</v>
      </c>
      <c r="D211" s="7">
        <v>2.7390979999999998</v>
      </c>
      <c r="E211" s="102"/>
      <c r="F211" s="102"/>
      <c r="G211" s="102"/>
      <c r="H211" s="7"/>
    </row>
    <row r="212" spans="1:22" ht="14.4" x14ac:dyDescent="0.3">
      <c r="A212" s="105"/>
      <c r="B212" s="7">
        <f>B210*B211</f>
        <v>3.1441998000000006E-3</v>
      </c>
      <c r="C212" s="7">
        <f>C210*C211</f>
        <v>1.4306376000000002E-3</v>
      </c>
      <c r="D212" s="7">
        <f>D210*D211</f>
        <v>0.54836741960000002</v>
      </c>
      <c r="E212" s="102"/>
      <c r="F212" s="102"/>
      <c r="G212" s="102"/>
      <c r="H212" s="7"/>
    </row>
    <row r="213" spans="1:22" ht="14.4" x14ac:dyDescent="0.3">
      <c r="A213" s="104" t="s">
        <v>324</v>
      </c>
      <c r="B213" s="106">
        <f>SUM(B212:D212)</f>
        <v>0.55294225699999999</v>
      </c>
      <c r="C213" s="37"/>
      <c r="D213" s="102"/>
      <c r="E213" s="102"/>
      <c r="F213" s="102"/>
      <c r="G213" s="102"/>
      <c r="H213" s="7"/>
    </row>
    <row r="214" spans="1:22" ht="14.4" x14ac:dyDescent="0.3">
      <c r="A214" s="105"/>
      <c r="B214" s="108"/>
      <c r="C214" s="37"/>
      <c r="D214" s="102"/>
      <c r="E214" s="102"/>
      <c r="F214" s="102"/>
      <c r="G214" s="102"/>
      <c r="H214" s="7"/>
    </row>
    <row r="215" spans="1:22" ht="14.4" x14ac:dyDescent="0.3">
      <c r="A215" s="95" t="s">
        <v>325</v>
      </c>
      <c r="B215" s="108"/>
      <c r="C215" s="37"/>
      <c r="D215" s="102"/>
      <c r="E215" s="102"/>
      <c r="F215" s="102"/>
      <c r="G215" s="102"/>
      <c r="H215" s="7"/>
      <c r="K215" s="3"/>
      <c r="L215" t="s">
        <v>326</v>
      </c>
      <c r="M215" t="s">
        <v>323</v>
      </c>
    </row>
    <row r="216" spans="1:22" ht="14.4" x14ac:dyDescent="0.3">
      <c r="A216" s="8" t="s">
        <v>62</v>
      </c>
      <c r="B216" s="28" t="s">
        <v>124</v>
      </c>
      <c r="C216" s="37"/>
      <c r="D216" s="102"/>
      <c r="E216" s="102"/>
      <c r="F216" s="102"/>
      <c r="G216" s="102"/>
      <c r="H216" s="29" t="s">
        <v>327</v>
      </c>
      <c r="K216" s="109"/>
      <c r="L216">
        <f>1/(1-33%)</f>
        <v>1.4925373134328359</v>
      </c>
      <c r="M216">
        <v>2.9</v>
      </c>
      <c r="N216">
        <f>K216*L216*M216</f>
        <v>0</v>
      </c>
    </row>
    <row r="217" spans="1:22" ht="14.4" x14ac:dyDescent="0.3">
      <c r="A217" s="8" t="s">
        <v>67</v>
      </c>
      <c r="B217" s="28" t="s">
        <v>127</v>
      </c>
      <c r="C217" s="37"/>
      <c r="D217" s="102"/>
      <c r="E217" s="102"/>
      <c r="F217" s="102"/>
      <c r="G217" s="102"/>
      <c r="H217" s="7"/>
      <c r="J217" s="3" t="s">
        <v>328</v>
      </c>
      <c r="K217">
        <f>B36+K192</f>
        <v>1.845533333333333</v>
      </c>
      <c r="L217">
        <f>C36+L192</f>
        <v>0.83973333333333333</v>
      </c>
      <c r="M217">
        <f>D36+M192</f>
        <v>0.44806666666666661</v>
      </c>
    </row>
    <row r="218" spans="1:22" ht="14.4" x14ac:dyDescent="0.3">
      <c r="A218" s="8" t="s">
        <v>73</v>
      </c>
      <c r="B218" s="28" t="s">
        <v>131</v>
      </c>
      <c r="C218" s="37"/>
      <c r="D218" s="102"/>
      <c r="E218" s="102"/>
      <c r="F218" s="102"/>
      <c r="G218" s="102"/>
      <c r="H218" s="7"/>
      <c r="J218" t="s">
        <v>326</v>
      </c>
      <c r="K218">
        <f>1/(1-33%)</f>
        <v>1.4925373134328359</v>
      </c>
      <c r="L218">
        <f>1/(1-33%)</f>
        <v>1.4925373134328359</v>
      </c>
      <c r="M218">
        <f>1/(1-33%)</f>
        <v>1.4925373134328359</v>
      </c>
    </row>
    <row r="219" spans="1:22" ht="14.4" x14ac:dyDescent="0.3">
      <c r="A219" s="8" t="s">
        <v>78</v>
      </c>
      <c r="B219" s="28" t="s">
        <v>135</v>
      </c>
      <c r="C219" s="37"/>
      <c r="D219" s="102"/>
      <c r="E219" s="102"/>
      <c r="F219" s="102"/>
      <c r="G219" s="102"/>
      <c r="H219" s="7"/>
      <c r="J219" t="s">
        <v>323</v>
      </c>
      <c r="K219" s="33">
        <v>0.29453000000000001</v>
      </c>
      <c r="L219" s="33">
        <v>2.866088</v>
      </c>
      <c r="M219" s="33">
        <v>2.2366130000000002</v>
      </c>
    </row>
    <row r="220" spans="1:22" ht="28.8" x14ac:dyDescent="0.3">
      <c r="A220" s="59" t="s">
        <v>172</v>
      </c>
      <c r="B220" s="3" t="s">
        <v>388</v>
      </c>
      <c r="C220" s="37"/>
      <c r="D220" s="102"/>
      <c r="E220" s="102"/>
      <c r="F220" s="102"/>
      <c r="G220" s="102"/>
      <c r="H220" s="7"/>
      <c r="J220" t="s">
        <v>329</v>
      </c>
      <c r="K220">
        <f>K217*K218*K219</f>
        <v>0.81129094427860693</v>
      </c>
      <c r="L220">
        <f>L217*L218*L219</f>
        <v>3.5921636266666668</v>
      </c>
      <c r="M220">
        <f>M217*M218*M219</f>
        <v>1.4957488530348257</v>
      </c>
    </row>
    <row r="221" spans="1:22" ht="28.8" x14ac:dyDescent="0.3">
      <c r="A221" s="59" t="s">
        <v>174</v>
      </c>
      <c r="B221" s="3" t="s">
        <v>390</v>
      </c>
      <c r="C221" s="37"/>
      <c r="D221" s="102"/>
      <c r="E221" s="102"/>
      <c r="F221" s="102"/>
      <c r="G221" s="102"/>
      <c r="H221" s="7"/>
    </row>
    <row r="222" spans="1:22" ht="26.25" customHeight="1" x14ac:dyDescent="0.3">
      <c r="A222" s="110" t="s">
        <v>175</v>
      </c>
      <c r="B222" s="108"/>
      <c r="C222" s="37"/>
      <c r="D222" s="102"/>
      <c r="E222" s="102"/>
      <c r="F222" s="102"/>
      <c r="G222" s="102"/>
      <c r="H222" s="7"/>
    </row>
    <row r="223" spans="1:22" ht="75" customHeight="1" x14ac:dyDescent="0.3">
      <c r="A223" s="111" t="s">
        <v>274</v>
      </c>
      <c r="B223" s="112">
        <v>0.55289999999999995</v>
      </c>
      <c r="C223" s="37"/>
      <c r="D223" s="102"/>
      <c r="E223" s="102"/>
      <c r="F223" s="102"/>
      <c r="G223" s="102"/>
      <c r="H223" s="7"/>
      <c r="J223" s="3" t="s">
        <v>330</v>
      </c>
      <c r="K223">
        <v>10000</v>
      </c>
      <c r="L223" t="s">
        <v>50</v>
      </c>
      <c r="M223" s="3" t="s">
        <v>331</v>
      </c>
      <c r="N223" s="3" t="s">
        <v>332</v>
      </c>
      <c r="O223" s="3" t="s">
        <v>333</v>
      </c>
      <c r="P223" s="3" t="s">
        <v>334</v>
      </c>
      <c r="Q223" s="3" t="s">
        <v>335</v>
      </c>
      <c r="S223" s="3" t="s">
        <v>336</v>
      </c>
      <c r="T223" s="3" t="s">
        <v>333</v>
      </c>
      <c r="U223" s="3" t="s">
        <v>334</v>
      </c>
      <c r="V223" s="3" t="s">
        <v>335</v>
      </c>
    </row>
    <row r="224" spans="1:22" ht="28.8" x14ac:dyDescent="0.3">
      <c r="A224" s="113" t="s">
        <v>177</v>
      </c>
      <c r="B224" s="85">
        <f>B223/1000</f>
        <v>5.5289999999999994E-4</v>
      </c>
      <c r="C224" s="37"/>
      <c r="D224" s="102"/>
      <c r="E224" s="102"/>
      <c r="F224" s="102"/>
      <c r="G224" s="102"/>
      <c r="H224" s="29" t="s">
        <v>276</v>
      </c>
      <c r="J224" t="s">
        <v>337</v>
      </c>
      <c r="K224">
        <v>1.2</v>
      </c>
      <c r="L224">
        <v>2000</v>
      </c>
      <c r="M224">
        <f>K224*L224</f>
        <v>2400</v>
      </c>
      <c r="N224" s="103">
        <f>(M224/M227)*100%</f>
        <v>0.30379746835443039</v>
      </c>
      <c r="O224">
        <f>N224*K223</f>
        <v>3037.9746835443038</v>
      </c>
      <c r="P224">
        <f>O224/L224</f>
        <v>1.518987341772152</v>
      </c>
      <c r="Q224">
        <f>P224+K224</f>
        <v>2.7189873417721522</v>
      </c>
      <c r="S224" s="114">
        <v>0.05</v>
      </c>
      <c r="T224">
        <f>M224*S224</f>
        <v>120</v>
      </c>
      <c r="U224">
        <f>T224/L224</f>
        <v>0.06</v>
      </c>
      <c r="V224">
        <f>K224+U224</f>
        <v>1.26</v>
      </c>
    </row>
    <row r="225" spans="1:22" ht="28.8" x14ac:dyDescent="0.3">
      <c r="A225" s="61" t="s">
        <v>178</v>
      </c>
      <c r="B225" s="85">
        <v>75</v>
      </c>
      <c r="C225" s="37"/>
      <c r="D225" s="102"/>
      <c r="E225" s="102"/>
      <c r="F225" s="102"/>
      <c r="G225" s="102"/>
      <c r="H225" s="29" t="s">
        <v>338</v>
      </c>
      <c r="J225" t="s">
        <v>339</v>
      </c>
      <c r="K225">
        <v>2</v>
      </c>
      <c r="L225">
        <v>1500</v>
      </c>
      <c r="M225">
        <f>K225*L225</f>
        <v>3000</v>
      </c>
      <c r="N225" s="103">
        <f>(M225/M227)*100%</f>
        <v>0.379746835443038</v>
      </c>
      <c r="O225">
        <f>N225*K223</f>
        <v>3797.4683544303798</v>
      </c>
      <c r="P225">
        <f>O225/L225</f>
        <v>2.5316455696202533</v>
      </c>
      <c r="Q225">
        <f>P225+K225</f>
        <v>4.5316455696202533</v>
      </c>
      <c r="S225" s="114">
        <v>0.05</v>
      </c>
      <c r="T225">
        <f>M225*S225</f>
        <v>150</v>
      </c>
      <c r="U225">
        <f>T225/L225</f>
        <v>0.1</v>
      </c>
      <c r="V225">
        <f>K225+U225</f>
        <v>2.1</v>
      </c>
    </row>
    <row r="226" spans="1:22" ht="28.8" x14ac:dyDescent="0.3">
      <c r="A226" s="59" t="s">
        <v>143</v>
      </c>
      <c r="B226" s="85">
        <v>1.246661</v>
      </c>
      <c r="C226" s="37"/>
      <c r="D226" s="102"/>
      <c r="E226" s="102"/>
      <c r="F226" s="102"/>
      <c r="G226" s="102"/>
      <c r="H226" s="29" t="s">
        <v>113</v>
      </c>
      <c r="J226" t="s">
        <v>340</v>
      </c>
      <c r="K226">
        <v>2.5</v>
      </c>
      <c r="L226">
        <v>1000</v>
      </c>
      <c r="M226">
        <f>K226*L226</f>
        <v>2500</v>
      </c>
      <c r="N226" s="103">
        <f>(M226/M227)*100%</f>
        <v>0.31645569620253167</v>
      </c>
      <c r="O226">
        <f>N226*K223</f>
        <v>3164.5569620253168</v>
      </c>
      <c r="P226">
        <f>O226/L226</f>
        <v>3.1645569620253169</v>
      </c>
      <c r="Q226">
        <f>P226+K226</f>
        <v>5.6645569620253173</v>
      </c>
      <c r="S226" s="114">
        <v>0.05</v>
      </c>
      <c r="T226">
        <f>M226*S226</f>
        <v>125</v>
      </c>
      <c r="U226">
        <f>T226/L226</f>
        <v>0.125</v>
      </c>
      <c r="V226">
        <f>K226+U226</f>
        <v>2.625</v>
      </c>
    </row>
    <row r="227" spans="1:22" ht="43.2" x14ac:dyDescent="0.3">
      <c r="A227" s="61" t="s">
        <v>144</v>
      </c>
      <c r="B227" s="85">
        <f>B224*B225*B226</f>
        <v>5.1695915017499997E-2</v>
      </c>
      <c r="C227" s="37"/>
      <c r="D227" s="102"/>
      <c r="E227" s="102"/>
      <c r="F227" s="102"/>
      <c r="G227" s="102"/>
      <c r="H227" s="7"/>
      <c r="L227" s="3" t="s">
        <v>341</v>
      </c>
      <c r="M227">
        <f>SUM(M224:M226)</f>
        <v>7900</v>
      </c>
      <c r="O227">
        <f>SUM(O224:O226)</f>
        <v>10000</v>
      </c>
      <c r="T227">
        <f>SUM(T224:T226)</f>
        <v>395</v>
      </c>
    </row>
    <row r="228" spans="1:22" ht="28.8" x14ac:dyDescent="0.3">
      <c r="A228" s="38" t="s">
        <v>342</v>
      </c>
      <c r="B228" s="85">
        <f>B227</f>
        <v>5.1695915017499997E-2</v>
      </c>
      <c r="C228" s="37"/>
      <c r="D228" s="102"/>
      <c r="E228" s="102"/>
      <c r="F228" s="102"/>
      <c r="G228" s="102"/>
      <c r="H228" s="29" t="s">
        <v>278</v>
      </c>
    </row>
    <row r="229" spans="1:22" ht="14.4" x14ac:dyDescent="0.3">
      <c r="A229" s="61"/>
      <c r="B229" s="108"/>
      <c r="C229" s="37"/>
      <c r="D229" s="102"/>
      <c r="E229" s="102"/>
      <c r="F229" s="102"/>
      <c r="G229" s="102"/>
      <c r="H229" s="7"/>
    </row>
    <row r="230" spans="1:22" ht="14.4" x14ac:dyDescent="0.3">
      <c r="A230" s="95" t="s">
        <v>343</v>
      </c>
      <c r="B230" s="108"/>
      <c r="C230" s="37"/>
      <c r="D230" s="102"/>
      <c r="E230" s="102"/>
      <c r="F230" s="102"/>
      <c r="G230" s="102"/>
      <c r="H230" s="7"/>
    </row>
    <row r="231" spans="1:22" ht="14.4" x14ac:dyDescent="0.3">
      <c r="A231" s="37"/>
      <c r="B231" s="108"/>
      <c r="C231" s="37"/>
      <c r="D231" s="102"/>
      <c r="E231" s="102"/>
      <c r="F231" s="102"/>
      <c r="G231" s="102"/>
      <c r="H231" s="7"/>
    </row>
    <row r="232" spans="1:22" ht="14.4" x14ac:dyDescent="0.3">
      <c r="A232" s="8" t="s">
        <v>62</v>
      </c>
      <c r="B232" s="28" t="s">
        <v>303</v>
      </c>
      <c r="C232" s="37"/>
      <c r="D232" s="102"/>
      <c r="E232" s="102"/>
      <c r="F232" s="102"/>
      <c r="G232" s="102"/>
      <c r="H232" s="29" t="s">
        <v>344</v>
      </c>
    </row>
    <row r="233" spans="1:22" ht="14.4" x14ac:dyDescent="0.3">
      <c r="A233" s="8" t="s">
        <v>67</v>
      </c>
      <c r="B233" s="28" t="s">
        <v>345</v>
      </c>
      <c r="C233" s="37"/>
      <c r="D233" s="102"/>
      <c r="E233" s="102"/>
      <c r="F233" s="102"/>
      <c r="G233" s="102"/>
      <c r="H233" s="7"/>
    </row>
    <row r="234" spans="1:22" ht="14.4" x14ac:dyDescent="0.3">
      <c r="A234" s="8" t="s">
        <v>73</v>
      </c>
      <c r="B234" s="28" t="s">
        <v>346</v>
      </c>
      <c r="C234" s="37"/>
      <c r="D234" s="102"/>
      <c r="E234" s="102"/>
      <c r="F234" s="102"/>
      <c r="G234" s="102"/>
      <c r="H234" s="7"/>
    </row>
    <row r="235" spans="1:22" ht="14.4" x14ac:dyDescent="0.3">
      <c r="A235" s="8" t="s">
        <v>78</v>
      </c>
      <c r="B235" s="28" t="s">
        <v>347</v>
      </c>
      <c r="C235" s="37"/>
      <c r="D235" s="102"/>
      <c r="E235" s="102"/>
      <c r="F235" s="102"/>
      <c r="G235" s="102"/>
      <c r="H235" s="7"/>
    </row>
    <row r="236" spans="1:22" ht="14.4" x14ac:dyDescent="0.3">
      <c r="A236" s="115" t="s">
        <v>348</v>
      </c>
      <c r="B236" s="85">
        <f>B72*10%</f>
        <v>5.5000000000000007E-2</v>
      </c>
      <c r="C236" s="37"/>
      <c r="D236" s="102"/>
      <c r="E236" s="102"/>
      <c r="F236" s="102"/>
      <c r="G236" s="102"/>
      <c r="H236" s="29" t="s">
        <v>349</v>
      </c>
    </row>
    <row r="237" spans="1:22" ht="28.8" x14ac:dyDescent="0.3">
      <c r="A237" s="105" t="s">
        <v>350</v>
      </c>
      <c r="B237" s="85">
        <v>3.4335999999999998E-2</v>
      </c>
      <c r="C237" s="37"/>
      <c r="D237" s="102"/>
      <c r="E237" s="102"/>
      <c r="F237" s="102"/>
      <c r="G237" s="102"/>
      <c r="H237" s="29" t="s">
        <v>113</v>
      </c>
    </row>
    <row r="238" spans="1:22" ht="28.8" x14ac:dyDescent="0.3">
      <c r="A238" s="104" t="s">
        <v>351</v>
      </c>
      <c r="B238" s="145">
        <f>B236*B237</f>
        <v>1.8884800000000001E-3</v>
      </c>
      <c r="C238" s="145"/>
      <c r="D238" s="146"/>
      <c r="E238" s="58"/>
      <c r="F238" s="58"/>
      <c r="G238" s="58"/>
      <c r="H238" s="29" t="s">
        <v>352</v>
      </c>
    </row>
    <row r="239" spans="1:22" ht="14.4" x14ac:dyDescent="0.3">
      <c r="A239" s="96"/>
      <c r="B239" s="7"/>
      <c r="C239" s="7"/>
      <c r="D239" s="66"/>
      <c r="E239" s="66"/>
      <c r="F239" s="66"/>
      <c r="G239" s="66"/>
      <c r="H239" s="7"/>
    </row>
    <row r="240" spans="1:22" ht="14.4" x14ac:dyDescent="0.3">
      <c r="A240" s="95" t="s">
        <v>353</v>
      </c>
    </row>
    <row r="241" spans="1:8" ht="14.4" x14ac:dyDescent="0.3">
      <c r="A241" s="8" t="s">
        <v>62</v>
      </c>
      <c r="B241" s="28" t="s">
        <v>124</v>
      </c>
      <c r="C241" s="7"/>
      <c r="D241" s="66"/>
      <c r="E241" s="66"/>
      <c r="F241" s="66"/>
      <c r="G241" s="66"/>
      <c r="H241" s="29" t="s">
        <v>354</v>
      </c>
    </row>
    <row r="242" spans="1:8" ht="14.4" x14ac:dyDescent="0.3">
      <c r="A242" s="8" t="s">
        <v>67</v>
      </c>
      <c r="B242" s="28" t="s">
        <v>127</v>
      </c>
      <c r="C242" s="7"/>
      <c r="D242" s="66"/>
      <c r="E242" s="66"/>
      <c r="F242" s="66"/>
      <c r="G242" s="66"/>
      <c r="H242" s="7"/>
    </row>
    <row r="243" spans="1:8" ht="14.4" x14ac:dyDescent="0.3">
      <c r="A243" s="8" t="s">
        <v>73</v>
      </c>
      <c r="B243" s="28" t="s">
        <v>355</v>
      </c>
      <c r="C243" s="7"/>
      <c r="D243" s="66"/>
      <c r="E243" s="66"/>
      <c r="F243" s="66"/>
      <c r="G243" s="66"/>
      <c r="H243" s="7"/>
    </row>
    <row r="244" spans="1:8" ht="14.4" x14ac:dyDescent="0.3">
      <c r="A244" s="8" t="s">
        <v>78</v>
      </c>
      <c r="B244" s="28" t="s">
        <v>135</v>
      </c>
      <c r="C244" s="7"/>
      <c r="D244" s="66"/>
      <c r="E244" s="66"/>
      <c r="F244" s="66"/>
      <c r="G244" s="66"/>
      <c r="H244" s="7"/>
    </row>
    <row r="245" spans="1:8" ht="28.8" x14ac:dyDescent="0.3">
      <c r="A245" s="59" t="s">
        <v>172</v>
      </c>
      <c r="B245" s="3" t="s">
        <v>388</v>
      </c>
      <c r="C245" s="7"/>
      <c r="D245" s="66"/>
      <c r="E245" s="66"/>
      <c r="F245" s="66"/>
      <c r="G245" s="66"/>
      <c r="H245" s="7"/>
    </row>
    <row r="246" spans="1:8" ht="28.8" x14ac:dyDescent="0.3">
      <c r="A246" s="59" t="s">
        <v>174</v>
      </c>
      <c r="B246" s="3" t="s">
        <v>390</v>
      </c>
      <c r="C246" s="7"/>
      <c r="D246" s="66"/>
      <c r="E246" s="66"/>
      <c r="F246" s="66"/>
      <c r="G246" s="66"/>
      <c r="H246" s="7"/>
    </row>
    <row r="247" spans="1:8" ht="14.4" x14ac:dyDescent="0.3">
      <c r="A247" s="61" t="s">
        <v>175</v>
      </c>
      <c r="B247" s="7"/>
      <c r="C247" s="7"/>
      <c r="D247" s="66"/>
      <c r="E247" s="66"/>
      <c r="F247" s="66"/>
      <c r="G247" s="66"/>
      <c r="H247" s="7"/>
    </row>
    <row r="248" spans="1:8" ht="14.4" x14ac:dyDescent="0.3">
      <c r="A248" s="61" t="s">
        <v>274</v>
      </c>
      <c r="B248" s="7">
        <v>5.5E-2</v>
      </c>
      <c r="C248" s="7"/>
      <c r="D248" s="66"/>
      <c r="E248" s="66"/>
      <c r="F248" s="66"/>
      <c r="G248" s="66"/>
      <c r="H248" s="7"/>
    </row>
    <row r="249" spans="1:8" ht="28.8" x14ac:dyDescent="0.3">
      <c r="A249" s="61" t="s">
        <v>177</v>
      </c>
      <c r="B249" s="7">
        <f>B248/1000</f>
        <v>5.5000000000000002E-5</v>
      </c>
      <c r="C249" s="7"/>
      <c r="D249" s="66"/>
      <c r="E249" s="66"/>
      <c r="F249" s="66"/>
      <c r="G249" s="66"/>
      <c r="H249" s="29" t="s">
        <v>276</v>
      </c>
    </row>
    <row r="250" spans="1:8" ht="28.8" x14ac:dyDescent="0.3">
      <c r="A250" s="61" t="s">
        <v>178</v>
      </c>
      <c r="B250" s="7">
        <v>75</v>
      </c>
      <c r="C250" s="7"/>
      <c r="D250" s="66"/>
      <c r="E250" s="66"/>
      <c r="F250" s="66"/>
      <c r="G250" s="66"/>
      <c r="H250" s="29" t="s">
        <v>356</v>
      </c>
    </row>
    <row r="251" spans="1:8" ht="28.8" x14ac:dyDescent="0.3">
      <c r="A251" s="59" t="s">
        <v>143</v>
      </c>
      <c r="B251" s="7">
        <v>0.22175500000000001</v>
      </c>
      <c r="C251" s="7"/>
      <c r="D251" s="66"/>
      <c r="E251" s="66"/>
      <c r="F251" s="66"/>
      <c r="G251" s="66"/>
      <c r="H251" s="29" t="s">
        <v>113</v>
      </c>
    </row>
    <row r="252" spans="1:8" ht="14.4" x14ac:dyDescent="0.3">
      <c r="A252" s="61" t="s">
        <v>144</v>
      </c>
      <c r="B252" s="7">
        <f>B249*B250*B251</f>
        <v>9.1473937500000004E-4</v>
      </c>
      <c r="C252" s="7"/>
      <c r="D252" s="66"/>
      <c r="E252" s="66"/>
      <c r="F252" s="66"/>
      <c r="G252" s="66"/>
      <c r="H252" s="7"/>
    </row>
    <row r="253" spans="1:8" ht="28.8" x14ac:dyDescent="0.3">
      <c r="A253" s="38" t="s">
        <v>357</v>
      </c>
      <c r="B253" s="7">
        <f>B252</f>
        <v>9.1473937500000004E-4</v>
      </c>
      <c r="C253" s="7"/>
      <c r="D253" s="66"/>
      <c r="E253" s="66"/>
      <c r="F253" s="66"/>
      <c r="G253" s="66"/>
      <c r="H253" s="29" t="s">
        <v>278</v>
      </c>
    </row>
    <row r="254" spans="1:8" ht="14.4" x14ac:dyDescent="0.3">
      <c r="A254" s="96"/>
      <c r="B254" s="7"/>
      <c r="C254" s="7"/>
      <c r="D254" s="66"/>
      <c r="E254" s="66"/>
      <c r="F254" s="66"/>
      <c r="G254" s="66"/>
      <c r="H254" s="7"/>
    </row>
    <row r="255" spans="1:8" ht="14.4" x14ac:dyDescent="0.3">
      <c r="A255" s="96"/>
      <c r="B255" s="7"/>
      <c r="C255" s="7"/>
      <c r="D255" s="66"/>
      <c r="E255" s="66"/>
      <c r="F255" s="66"/>
      <c r="G255" s="66"/>
      <c r="H255" s="7"/>
    </row>
    <row r="256" spans="1:8" ht="14.4" x14ac:dyDescent="0.3">
      <c r="A256" s="116" t="s">
        <v>253</v>
      </c>
      <c r="B256" s="150">
        <f>B51+B65+B75+B90+B107+B121+B134+B143+B156+B171+B196+B228+B238+B253</f>
        <v>39.700882660659168</v>
      </c>
      <c r="C256" s="151"/>
      <c r="D256" s="152"/>
      <c r="E256" s="117"/>
      <c r="F256" s="117"/>
      <c r="G256" s="117"/>
      <c r="H256" s="29"/>
    </row>
    <row r="258" spans="1:8" ht="14.4" x14ac:dyDescent="0.3">
      <c r="A258" s="118"/>
      <c r="B258" s="119"/>
      <c r="C258" s="120"/>
    </row>
    <row r="259" spans="1:8" ht="14.4" x14ac:dyDescent="0.3">
      <c r="A259" s="118"/>
      <c r="B259" s="121" t="s">
        <v>362</v>
      </c>
      <c r="C259" s="121">
        <f>D261</f>
        <v>5.3382000000000004E-3</v>
      </c>
      <c r="D259">
        <f>SUM(B188:D188)</f>
        <v>1.4000000000000001</v>
      </c>
      <c r="G259" s="121" t="s">
        <v>358</v>
      </c>
    </row>
    <row r="260" spans="1:8" ht="14.4" x14ac:dyDescent="0.3">
      <c r="B260" s="121" t="s">
        <v>359</v>
      </c>
      <c r="C260" s="119">
        <f>B107+B121+B134+B143+B156</f>
        <v>17.969269500000006</v>
      </c>
      <c r="D260">
        <f>B194</f>
        <v>3.813E-3</v>
      </c>
      <c r="G260" s="122" t="s">
        <v>256</v>
      </c>
      <c r="H260" s="123">
        <f>B51</f>
        <v>18.440661434999999</v>
      </c>
    </row>
    <row r="261" spans="1:8" ht="14.4" x14ac:dyDescent="0.3">
      <c r="B261" s="121" t="s">
        <v>421</v>
      </c>
      <c r="C261" s="119">
        <f>B51</f>
        <v>18.440661434999999</v>
      </c>
      <c r="D261">
        <f>D259*D260</f>
        <v>5.3382000000000004E-3</v>
      </c>
      <c r="G261" s="122" t="s">
        <v>359</v>
      </c>
      <c r="H261" s="123">
        <f>B107+B121+B134+B143+B156</f>
        <v>17.969269500000006</v>
      </c>
    </row>
    <row r="262" spans="1:8" ht="14.4" x14ac:dyDescent="0.3">
      <c r="B262" s="121" t="s">
        <v>124</v>
      </c>
      <c r="C262" s="119">
        <f>B65+B90+B171+B228+B253</f>
        <v>2.229888888659167</v>
      </c>
      <c r="G262" s="122" t="s">
        <v>360</v>
      </c>
      <c r="H262" s="123">
        <f>B75</f>
        <v>0.50623210000000007</v>
      </c>
    </row>
    <row r="263" spans="1:8" ht="14.4" x14ac:dyDescent="0.3">
      <c r="B263" s="121" t="s">
        <v>360</v>
      </c>
      <c r="C263" s="119">
        <f>B90</f>
        <v>0.10498136880000002</v>
      </c>
      <c r="G263" s="122" t="s">
        <v>361</v>
      </c>
      <c r="H263" s="123">
        <f>B65+B90+B171+B228+B253</f>
        <v>2.229888888659167</v>
      </c>
    </row>
    <row r="264" spans="1:8" ht="14.4" x14ac:dyDescent="0.3">
      <c r="B264" s="121" t="s">
        <v>159</v>
      </c>
      <c r="C264" s="119">
        <f>SUM(C259:C263)</f>
        <v>38.750139392459168</v>
      </c>
      <c r="G264" s="122" t="s">
        <v>362</v>
      </c>
      <c r="H264" s="123">
        <f>B196+B238</f>
        <v>0.55483073699999996</v>
      </c>
    </row>
    <row r="265" spans="1:8" ht="14.4" x14ac:dyDescent="0.3">
      <c r="B265" s="121"/>
      <c r="C265" s="119"/>
      <c r="G265" s="122" t="s">
        <v>363</v>
      </c>
      <c r="H265" s="123">
        <f>SUM(H260:H264)</f>
        <v>39.700882660659175</v>
      </c>
    </row>
    <row r="266" spans="1:8" ht="14.4" x14ac:dyDescent="0.3">
      <c r="B266" s="121"/>
      <c r="C266" s="129"/>
      <c r="G266" s="122" t="s">
        <v>364</v>
      </c>
      <c r="H266" s="124"/>
    </row>
    <row r="267" spans="1:8" ht="14.4" x14ac:dyDescent="0.3">
      <c r="B267" s="121"/>
      <c r="D267" s="121"/>
      <c r="E267" s="121"/>
      <c r="F267" s="121"/>
      <c r="G267" s="121"/>
    </row>
    <row r="268" spans="1:8" ht="14.4" x14ac:dyDescent="0.3"/>
    <row r="269" spans="1:8" ht="15" customHeight="1" x14ac:dyDescent="0.3">
      <c r="H269" s="120"/>
    </row>
    <row r="270" spans="1:8" ht="15" customHeight="1" x14ac:dyDescent="0.3">
      <c r="B270" s="120"/>
      <c r="C270" s="120"/>
      <c r="H270" s="120"/>
    </row>
    <row r="271" spans="1:8" ht="15" customHeight="1" x14ac:dyDescent="0.3">
      <c r="H271" s="120"/>
    </row>
    <row r="272" spans="1:8" ht="15" customHeight="1" x14ac:dyDescent="0.3">
      <c r="H272" s="120"/>
    </row>
    <row r="273" spans="8:8" ht="15" customHeight="1" x14ac:dyDescent="0.3">
      <c r="H273" s="120"/>
    </row>
    <row r="274" spans="8:8" ht="15" customHeight="1" x14ac:dyDescent="0.3">
      <c r="H274" s="120"/>
    </row>
  </sheetData>
  <mergeCells count="15">
    <mergeCell ref="B171:D171"/>
    <mergeCell ref="B238:D238"/>
    <mergeCell ref="B256:D256"/>
    <mergeCell ref="B90:D90"/>
    <mergeCell ref="B107:D107"/>
    <mergeCell ref="B121:D121"/>
    <mergeCell ref="B134:D134"/>
    <mergeCell ref="B143:D143"/>
    <mergeCell ref="B156:D156"/>
    <mergeCell ref="B75:D75"/>
    <mergeCell ref="B40:D40"/>
    <mergeCell ref="B44:D44"/>
    <mergeCell ref="B47:D47"/>
    <mergeCell ref="B48:D48"/>
    <mergeCell ref="B51:D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074a72-b979-4e2a-a428-8bcf9dadd19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38B1E7A6B0C47A1F6E940EA48FC10" ma:contentTypeVersion="10" ma:contentTypeDescription="Create a new document." ma:contentTypeScope="" ma:versionID="76dabced81360bffe619a2f753a0f111">
  <xsd:schema xmlns:xsd="http://www.w3.org/2001/XMLSchema" xmlns:xs="http://www.w3.org/2001/XMLSchema" xmlns:p="http://schemas.microsoft.com/office/2006/metadata/properties" xmlns:ns3="a6074a72-b979-4e2a-a428-8bcf9dadd19e" targetNamespace="http://schemas.microsoft.com/office/2006/metadata/properties" ma:root="true" ma:fieldsID="a3b3a40a678b1b91b1a598e1e2780531" ns3:_="">
    <xsd:import namespace="a6074a72-b979-4e2a-a428-8bcf9dadd1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74a72-b979-4e2a-a428-8bcf9dadd1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D6AD8B-D187-4572-933E-4BF2028D520E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6074a72-b979-4e2a-a428-8bcf9dadd19e"/>
  </ds:schemaRefs>
</ds:datastoreItem>
</file>

<file path=customXml/itemProps2.xml><?xml version="1.0" encoding="utf-8"?>
<ds:datastoreItem xmlns:ds="http://schemas.openxmlformats.org/officeDocument/2006/customXml" ds:itemID="{BBC073F2-AA5F-41C4-83B1-354A66A5E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074a72-b979-4e2a-a428-8bcf9dadd1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64D05A-AD34-4576-B3BB-24FAEA0C50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Instrument Panel</vt:lpstr>
      <vt:lpstr>Headliner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Hruday Murikipudi</dc:creator>
  <cp:keywords/>
  <dc:description/>
  <cp:lastModifiedBy>Hruday Murikipudi</cp:lastModifiedBy>
  <cp:revision/>
  <dcterms:created xsi:type="dcterms:W3CDTF">2026-07-28T05:10:04Z</dcterms:created>
  <dcterms:modified xsi:type="dcterms:W3CDTF">2026-08-11T04:24:01Z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0x01010040F38B1E7A6B0C47A1F6E940EA48FC10</vt:lpwstr>
  </property>
</Properties>
</file>